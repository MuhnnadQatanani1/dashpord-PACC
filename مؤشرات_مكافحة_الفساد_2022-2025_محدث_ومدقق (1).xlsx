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drawings/drawing8.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drawings/drawing9.xml" ContentType="application/vnd.openxmlformats-officedocument.drawing+xml"/>
  <Override PartName="/xl/comments3.xml" ContentType="application/vnd.openxmlformats-officedocument.spreadsheetml.comments+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13.xml" ContentType="application/vnd.openxmlformats-officedocument.drawing+xml"/>
  <Override PartName="/xl/comments4.xml" ContentType="application/vnd.openxmlformats-officedocument.spreadsheetml.comments+xml"/>
  <Override PartName="/xl/charts/chart15.xml" ContentType="application/vnd.openxmlformats-officedocument.drawingml.chart+xml"/>
  <Override PartName="/xl/drawings/drawing14.xml" ContentType="application/vnd.openxmlformats-officedocument.drawing+xml"/>
  <Override PartName="/xl/charts/chart16.xml" ContentType="application/vnd.openxmlformats-officedocument.drawingml.chart+xml"/>
  <Override PartName="/xl/drawings/drawing15.xml" ContentType="application/vnd.openxmlformats-officedocument.drawing+xml"/>
  <Override PartName="/xl/charts/chart17.xml" ContentType="application/vnd.openxmlformats-officedocument.drawingml.chart+xml"/>
  <Override PartName="/xl/drawings/drawing16.xml" ContentType="application/vnd.openxmlformats-officedocument.drawing+xml"/>
  <Override PartName="/xl/charts/chart18.xml" ContentType="application/vnd.openxmlformats-officedocument.drawingml.chart+xml"/>
  <Override PartName="/xl/drawings/drawing17.xml" ContentType="application/vnd.openxmlformats-officedocument.drawing+xml"/>
  <Override PartName="/xl/charts/chart19.xml" ContentType="application/vnd.openxmlformats-officedocument.drawingml.chart+xml"/>
  <Override PartName="/xl/drawings/drawing18.xml" ContentType="application/vnd.openxmlformats-officedocument.drawing+xml"/>
  <Override PartName="/xl/charts/chart20.xml" ContentType="application/vnd.openxmlformats-officedocument.drawingml.chart+xml"/>
  <Override PartName="/xl/drawings/drawing19.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20.xml" ContentType="application/vnd.openxmlformats-officedocument.drawing+xml"/>
  <Override PartName="/xl/charts/chart23.xml" ContentType="application/vnd.openxmlformats-officedocument.drawingml.chart+xml"/>
  <Override PartName="/xl/drawings/drawing21.xml" ContentType="application/vnd.openxmlformats-officedocument.drawing+xml"/>
  <Override PartName="/xl/charts/chart24.xml" ContentType="application/vnd.openxmlformats-officedocument.drawingml.chart+xml"/>
  <Override PartName="/xl/drawings/drawing22.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23.xml" ContentType="application/vnd.openxmlformats-officedocument.drawing+xml"/>
  <Override PartName="/xl/charts/chart27.xml" ContentType="application/vnd.openxmlformats-officedocument.drawingml.chart+xml"/>
  <Override PartName="/xl/drawings/drawing24.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25.xml" ContentType="application/vnd.openxmlformats-officedocument.drawing+xml"/>
  <Override PartName="/xl/charts/chart30.xml" ContentType="application/vnd.openxmlformats-officedocument.drawingml.chart+xml"/>
  <Override PartName="/xl/drawings/drawing26.xml" ContentType="application/vnd.openxmlformats-officedocument.drawing+xml"/>
  <Override PartName="/xl/charts/chart31.xml" ContentType="application/vnd.openxmlformats-officedocument.drawingml.chart+xml"/>
  <Override PartName="/xl/drawings/drawing27.xml" ContentType="application/vnd.openxmlformats-officedocument.drawing+xml"/>
  <Override PartName="/xl/charts/chart32.xml" ContentType="application/vnd.openxmlformats-officedocument.drawingml.chart+xml"/>
  <Override PartName="/xl/drawings/drawing28.xml" ContentType="application/vnd.openxmlformats-officedocument.drawing+xml"/>
  <Override PartName="/xl/charts/chart33.xml" ContentType="application/vnd.openxmlformats-officedocument.drawingml.chart+xml"/>
  <Override PartName="/xl/drawings/drawing29.xml" ContentType="application/vnd.openxmlformats-officedocument.drawing+xml"/>
  <Override PartName="/xl/charts/chart34.xml" ContentType="application/vnd.openxmlformats-officedocument.drawingml.chart+xml"/>
  <Override PartName="/xl/drawings/drawing30.xml" ContentType="application/vnd.openxmlformats-officedocument.drawing+xml"/>
  <Override PartName="/xl/charts/chart35.xml" ContentType="application/vnd.openxmlformats-officedocument.drawingml.chart+xml"/>
  <Override PartName="/xl/drawings/drawing31.xml" ContentType="application/vnd.openxmlformats-officedocument.drawing+xml"/>
  <Override PartName="/xl/charts/chart36.xml" ContentType="application/vnd.openxmlformats-officedocument.drawingml.chart+xml"/>
  <Override PartName="/xl/drawings/drawing32.xml" ContentType="application/vnd.openxmlformats-officedocument.drawing+xml"/>
  <Override PartName="/xl/charts/chart37.xml" ContentType="application/vnd.openxmlformats-officedocument.drawingml.chart+xml"/>
  <Override PartName="/xl/drawings/drawing33.xml" ContentType="application/vnd.openxmlformats-officedocument.drawing+xml"/>
  <Override PartName="/xl/charts/chart38.xml" ContentType="application/vnd.openxmlformats-officedocument.drawingml.chart+xml"/>
  <Override PartName="/xl/drawings/drawing34.xml" ContentType="application/vnd.openxmlformats-officedocument.drawing+xml"/>
  <Override PartName="/xl/charts/chart39.xml" ContentType="application/vnd.openxmlformats-officedocument.drawingml.chart+xml"/>
  <Override PartName="/xl/drawings/drawing35.xml" ContentType="application/vnd.openxmlformats-officedocument.drawing+xml"/>
  <Override PartName="/xl/charts/chart40.xml" ContentType="application/vnd.openxmlformats-officedocument.drawingml.chart+xml"/>
  <Override PartName="/xl/drawings/drawing36.xml" ContentType="application/vnd.openxmlformats-officedocument.drawing+xml"/>
  <Override PartName="/xl/charts/chart41.xml" ContentType="application/vnd.openxmlformats-officedocument.drawingml.chart+xml"/>
  <Override PartName="/xl/drawings/drawing37.xml" ContentType="application/vnd.openxmlformats-officedocument.drawing+xml"/>
  <Override PartName="/xl/charts/chart4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hanned\Downloads\"/>
    </mc:Choice>
  </mc:AlternateContent>
  <xr:revisionPtr revIDLastSave="0" documentId="13_ncr:1_{7411BF49-3A65-4D4A-8128-2CC57B6E196D}" xr6:coauthVersionLast="47" xr6:coauthVersionMax="47" xr10:uidLastSave="{00000000-0000-0000-0000-000000000000}"/>
  <bookViews>
    <workbookView xWindow="-120" yWindow="-120" windowWidth="29040" windowHeight="15720" tabRatio="500" xr2:uid="{00000000-000D-0000-FFFF-FFFF00000000}"/>
  </bookViews>
  <sheets>
    <sheet name="ملخص عام" sheetId="1" r:id="rId1"/>
    <sheet name="1-التشريعات" sheetId="2" r:id="rId2"/>
    <sheet name="2-جودة التشريعات" sheetId="3" r:id="rId3"/>
    <sheet name="3-المحالة حسب القطاع والجرم" sheetId="4" r:id="rId4"/>
    <sheet name="4-الملفات التحقيقية الواردة" sheetId="5" r:id="rId5"/>
    <sheet name="5-الملفات المنجزة (عدد)" sheetId="6" r:id="rId6"/>
    <sheet name="6-الواردة لنيابة جرائم الفساد" sheetId="7" r:id="rId7"/>
    <sheet name="7-نسبة المنجز لدى النيابة" sheetId="8" r:id="rId8"/>
    <sheet name="8-المحالين لمحكمة الفساد" sheetId="9" r:id="rId9"/>
    <sheet name="9-القضايا المفصولة بحكم" sheetId="10" r:id="rId10"/>
    <sheet name="10-المدانين" sheetId="11" r:id="rId11"/>
    <sheet name="11-المكلفين بالإقرار" sheetId="12" r:id="rId12"/>
    <sheet name="12-الإقرارات الموزعة" sheetId="13" r:id="rId13"/>
    <sheet name="13-نسبة الإقرارات المستوفاة" sheetId="14" r:id="rId14"/>
    <sheet name="14-فض الإقرارات للفحص" sheetId="15" r:id="rId15"/>
    <sheet name="15-طلبات الحماية الواردة" sheetId="16" r:id="rId16"/>
    <sheet name="15ب-حسب النوع والنتيجة" sheetId="17" r:id="rId17"/>
    <sheet name="15ج-حسب جهة الحماية" sheetId="18" r:id="rId18"/>
    <sheet name="16-طلبات التظلم" sheetId="19" r:id="rId19"/>
    <sheet name="17-متابعة طلبات الحماية" sheetId="20" r:id="rId20"/>
    <sheet name="18-انتشار الرشوة (رأي عام)" sheetId="21" r:id="rId21"/>
    <sheet name="19-انتشار الرشوة الفعلي" sheetId="22" r:id="rId22"/>
    <sheet name="20-الواردة حسب القطاع" sheetId="23" r:id="rId23"/>
    <sheet name="21-جرائم الملفات الواردة" sheetId="24" r:id="rId24"/>
    <sheet name="22-المحفوظة حسب قطاع وجرم" sheetId="25" r:id="rId25"/>
    <sheet name="23-محولة للنيابة العامة" sheetId="26" r:id="rId26"/>
    <sheet name="24-إجراءات الضبط القضائي" sheetId="27" r:id="rId27"/>
    <sheet name="25-نسب ومعدلات مشتقة" sheetId="28" r:id="rId28"/>
    <sheet name="26-منتهية (ملف مماثل بالنيابة)" sheetId="29" r:id="rId29"/>
    <sheet name="27-تفصيل حسب نوع القرار" sheetId="30" r:id="rId30"/>
    <sheet name="28-الشكاوى حسب مصدر التقديم" sheetId="31" r:id="rId31"/>
    <sheet name="29-الشكاوى حسب التكييف الأولي" sheetId="32" r:id="rId32"/>
    <sheet name="30-الشكاوى حسب القطاع" sheetId="33" r:id="rId33"/>
    <sheet name="31-طريقة استلام الشكوى" sheetId="34" r:id="rId34"/>
    <sheet name="32-الشكاوى حسب جنس المشتكى عليه" sheetId="35" r:id="rId35"/>
    <sheet name="33-حسب درجة المشتكى عليه" sheetId="36" r:id="rId36"/>
    <sheet name="34-نموذج1 قضايا ومشتبهين" sheetId="37" r:id="rId37"/>
    <sheet name="35-نموذج4 حسب نوع الجرم (محكمة)" sheetId="38" r:id="rId38"/>
    <sheet name="36-نموذج3 حسب القطاع (مسجلة)" sheetId="39" r:id="rId39"/>
    <sheet name="11ب-الجهات المكلفة" sheetId="40" r:id="rId40"/>
    <sheet name="12ب-إقرارات دورية" sheetId="41" r:id="rId41"/>
    <sheet name="12ج-المجموع التراكمي" sheetId="42" r:id="rId42"/>
    <sheet name="12د-التوزيع حسب الفئة" sheetId="43" r:id="rId43"/>
    <sheet name="42-ضبط وإعادة أموال عامة" sheetId="44" r:id="rId44"/>
    <sheet name="43-تقارير التدقيق المالي" sheetId="45" r:id="rId45"/>
    <sheet name="44-جهود الرصد التفصيلية" sheetId="46" r:id="rId46"/>
    <sheet name="45-بيانات غزة الاستثنائية 2024" sheetId="47" r:id="rId47"/>
    <sheet name="46-مؤشرات إضافية متفرقة" sheetId="48" r:id="rId4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43" l="1"/>
  <c r="C10" i="43" s="1"/>
  <c r="B9" i="43"/>
  <c r="B10" i="43" s="1"/>
  <c r="C8" i="43"/>
  <c r="C7" i="43"/>
  <c r="C6" i="43"/>
  <c r="C5" i="43"/>
  <c r="E6" i="42"/>
  <c r="D6" i="42"/>
  <c r="C6" i="42"/>
  <c r="E21" i="28"/>
  <c r="D21" i="28"/>
  <c r="C21" i="28"/>
  <c r="B21" i="28"/>
  <c r="E20" i="28"/>
  <c r="D20" i="28"/>
  <c r="C20" i="28"/>
  <c r="E19" i="28"/>
  <c r="D19" i="28"/>
  <c r="C19" i="28"/>
  <c r="B19" i="28"/>
  <c r="E18" i="28"/>
  <c r="D18" i="28"/>
  <c r="C18" i="28"/>
  <c r="B18" i="28"/>
  <c r="E17" i="28"/>
  <c r="D17" i="28"/>
  <c r="C17" i="28"/>
  <c r="B17" i="28"/>
  <c r="E16" i="28"/>
  <c r="D16" i="28"/>
  <c r="C16" i="28"/>
  <c r="B16" i="28"/>
  <c r="E15" i="28"/>
  <c r="D15" i="28"/>
  <c r="C15" i="28"/>
  <c r="B15" i="28"/>
  <c r="D24" i="17"/>
  <c r="C24" i="17"/>
  <c r="B24" i="17"/>
  <c r="D23" i="17"/>
  <c r="C23" i="17"/>
  <c r="B23" i="17"/>
  <c r="D22" i="17"/>
  <c r="C22" i="17"/>
  <c r="B22" i="17"/>
  <c r="D21" i="17"/>
  <c r="C21" i="17"/>
  <c r="B21" i="17"/>
  <c r="E6" i="14"/>
  <c r="D6" i="14"/>
  <c r="C6" i="14"/>
  <c r="B6" i="14"/>
  <c r="E8" i="8"/>
  <c r="D8" i="8"/>
  <c r="C8" i="8"/>
  <c r="B8" i="8"/>
  <c r="E6" i="8"/>
  <c r="E5" i="8" s="1"/>
  <c r="D6" i="8"/>
  <c r="D5" i="8" s="1"/>
  <c r="C6" i="8"/>
  <c r="B6" i="8"/>
  <c r="C5" i="8"/>
  <c r="B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800-000001000000}">
      <text>
        <r>
          <rPr>
            <sz val="10"/>
            <rFont val="FreeSans"/>
            <family val="2"/>
          </rPr>
          <t>مختلف عن التقرير السنوي الأصلي - راجع الملاحظة أسفل الجدول</t>
        </r>
      </text>
    </comment>
    <comment ref="C5" authorId="0" shapeId="0" xr:uid="{00000000-0006-0000-0800-000002000000}">
      <text>
        <r>
          <rPr>
            <sz val="10"/>
            <rFont val="FreeSans"/>
            <family val="2"/>
          </rPr>
          <t>مختلف عن التقرير السنوي الأصلي - راجع الملاحظة أسفل الجدول</t>
        </r>
      </text>
    </comment>
    <comment ref="D5" authorId="0" shapeId="0" xr:uid="{00000000-0006-0000-0800-000004000000}">
      <text>
        <r>
          <rPr>
            <sz val="10"/>
            <rFont val="FreeSans"/>
            <family val="2"/>
          </rPr>
          <t>مختلف عن التقرير السنوي الأصلي - راجع الملاحظة أسفل الجدول</t>
        </r>
      </text>
    </comment>
    <comment ref="D6" authorId="0" shapeId="0" xr:uid="{00000000-0006-0000-0800-000005000000}">
      <text>
        <r>
          <rPr>
            <sz val="10"/>
            <rFont val="FreeSans"/>
            <family val="2"/>
          </rPr>
          <t>مختلف عن التقرير السنوي الأصلي - راجع الملاحظة أسفل الجدول</t>
        </r>
      </text>
    </comment>
    <comment ref="C8" authorId="0" shapeId="0" xr:uid="{00000000-0006-0000-0800-000003000000}">
      <text>
        <r>
          <rPr>
            <sz val="10"/>
            <rFont val="FreeSans"/>
            <family val="2"/>
          </rPr>
          <t>مختلف عن التقرير السنوي الأصلي - راجع الملاحظة أسفل الجدول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900-000001000000}">
      <text>
        <r>
          <rPr>
            <sz val="10"/>
            <rFont val="FreeSans"/>
            <family val="2"/>
          </rPr>
          <t>مختلف عن التقرير السنوي الأصلي - راجع الملاحظة أسفل الجدول</t>
        </r>
      </text>
    </comment>
    <comment ref="D5" authorId="0" shapeId="0" xr:uid="{00000000-0006-0000-0900-000002000000}">
      <text>
        <r>
          <rPr>
            <sz val="10"/>
            <rFont val="FreeSans"/>
            <family val="2"/>
          </rPr>
          <t>مختلف عن التقرير السنوي الأصلي - راجع الملاحظة أسفل الجدول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A00-000001000000}">
      <text>
        <r>
          <rPr>
            <sz val="10"/>
            <rFont val="FreeSans"/>
            <family val="2"/>
          </rPr>
          <t>مختلف عن التقرير السنوي الأصلي - راجع الملاحظة أسفل الجدول</t>
        </r>
      </text>
    </comment>
    <comment ref="C6" authorId="0" shapeId="0" xr:uid="{00000000-0006-0000-0A00-000002000000}">
      <text>
        <r>
          <rPr>
            <sz val="10"/>
            <rFont val="FreeSans"/>
            <family val="2"/>
          </rPr>
          <t>مختلف عن التقرير السنوي الأصلي - راجع الملاحظة أسفل الجدول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 authorId="0" shapeId="0" xr:uid="{00000000-0006-0000-0F00-000001000000}">
      <text>
        <r>
          <rPr>
            <sz val="10"/>
            <rFont val="FreeSans"/>
            <family val="2"/>
          </rPr>
          <t xml:space="preserve">التقرير السنوي </t>
        </r>
        <r>
          <rPr>
            <sz val="10"/>
            <rFont val="Arial"/>
            <family val="2"/>
          </rPr>
          <t>2024 (ص45) يذكر 24 ذكوراً و2 إناث = مجموع 26. القيمة السابقة (26) كانت خاطئة.</t>
        </r>
      </text>
    </comment>
  </commentList>
</comments>
</file>

<file path=xl/sharedStrings.xml><?xml version="1.0" encoding="utf-8"?>
<sst xmlns="http://schemas.openxmlformats.org/spreadsheetml/2006/main" count="1086" uniqueCount="522">
  <si>
    <t>ملخص عام - مؤشرات مكافحة الفساد (2022-2025)</t>
  </si>
  <si>
    <t>مستخرج من التقارير السنوية للإدارة العامة للتحقيق - هيئة مكافحة الفساد الفلسطينية</t>
  </si>
  <si>
    <t>#</t>
  </si>
  <si>
    <t>اسم المؤشر</t>
  </si>
  <si>
    <t>الحالة (متوفر/غير متوفر)</t>
  </si>
  <si>
    <t>عدد التشريعات/البنود المُقرّة أو المعدّلة</t>
  </si>
  <si>
    <t>غير متوفر</t>
  </si>
  <si>
    <t>جودة وفاعلية التشريعات ذات العلاقة بمكافحة الفساد</t>
  </si>
  <si>
    <t>الملفات التحقيقية المحالة حسب القطاع وحسب الجرم</t>
  </si>
  <si>
    <t>متوفر بالكامل</t>
  </si>
  <si>
    <t>عدد الملفات التحقيقية لدى الهيئة (الواردة)</t>
  </si>
  <si>
    <t>عدد الملفات التحقيقية المنجزة</t>
  </si>
  <si>
    <t>عدد القضايا الواردة لنيابة جرائم الفساد</t>
  </si>
  <si>
    <t>متوفر (كملفات محالة من الهيئة)</t>
  </si>
  <si>
    <t>نسبة ملفات التحقيق الجزائي المنجزة لدى النيابة</t>
  </si>
  <si>
    <t>متوفر (تقريبي/محسوب - راجع التحفظ في شيت 7)</t>
  </si>
  <si>
    <t>عدد المتهمين المحالين إلى محكمة جرائم الفساد</t>
  </si>
  <si>
    <t>متوفر بالكامل (تم تحديثه من نموذج إحصائي إضافي - نموذج رقم 1)</t>
  </si>
  <si>
    <t>عدد القضايا المفصولة بحكم في محكمة جرائم الفساد</t>
  </si>
  <si>
    <t>متوفر بالكامل (تم تحديثه من نموذج إحصائي إضافي - نموذج رقم 2)</t>
  </si>
  <si>
    <t>عدد المدانين في القضايا المفصولة بحكم</t>
  </si>
  <si>
    <t>عدد المكلفين بإقرارات الذمة المالية</t>
  </si>
  <si>
    <t>غير متوفر (عدد الأفراد) - لكن أُضيف عدد "الجهات" المكلفة كمؤشر بديل 11ب</t>
  </si>
  <si>
    <t>عدد إقرارات الذمة المالية الموزعة</t>
  </si>
  <si>
    <t>متوفر بالكامل (تمت تعبئته - عدد النماذج الموزعة/المسلمة)</t>
  </si>
  <si>
    <t>نسبة إقرارات الذمة المالية المستوفاة</t>
  </si>
  <si>
    <t>متوفر بالكامل (تمت تعبئته - محسوبة كنسبة المستلمة÷الموزعة)</t>
  </si>
  <si>
    <t>نسبة إقرارات الذمة المالية المفضوضة للفحص الدوري</t>
  </si>
  <si>
    <t>محدّث جزئياً: بيانات جديدة أُضيفت لعامي 2022 و2025، مع تنبيه لوجود تعارض في أرقام 2023/2024 (راجع شيت 14)</t>
  </si>
  <si>
    <t>عدد طلبات الحماية الواردة للهيئة</t>
  </si>
  <si>
    <t>متوفر بالكامل (من نموذج وحدة حماية الشهود والمبلغين)</t>
  </si>
  <si>
    <t>عدد طلبات التظلم على طلبات الحماية</t>
  </si>
  <si>
    <t>عدد طلبات الحماية التي تمت متابعتها</t>
  </si>
  <si>
    <t>نسبة انتشار الرشوة حسب وجهة نظر الأفراد</t>
  </si>
  <si>
    <t>نسبة الأشخاص الذين دفعوا رشوة فعليًا</t>
  </si>
  <si>
    <t>مؤشرات إضافية  - وتشمل مؤشر 26 الأصلية PDF</t>
  </si>
  <si>
    <t>الحالة</t>
  </si>
  <si>
    <t>توزيع الملفات الواردة حسب القطاع</t>
  </si>
  <si>
    <t>تصنيف جرائم الفساد في الملفات الواردة</t>
  </si>
  <si>
    <t>متوفر بالكامل (تم تصحيح: بيانات 2024 متوفرة فعليًا في الشيت، المجموع 193)</t>
  </si>
  <si>
    <t>توزيع الملفات المحفوظة حسب القطاع والجرم</t>
  </si>
  <si>
    <t>جزئي (2022 فقط بالتفصيل)</t>
  </si>
  <si>
    <t>الملفات المحوّلة للنيابة العامة (غير فساد)</t>
  </si>
  <si>
    <t>أعمال الضبط القضائي والتحري والاستدلال</t>
  </si>
  <si>
    <t>جزئي (2023 و2024 فقط)</t>
  </si>
  <si>
    <t>نسب ومعدلات مشتقة (إحالة، حفظ، رد، نمو...)</t>
  </si>
  <si>
    <t>محسوبة بصيغ Excel من بيانات الأعوام الأربعة</t>
  </si>
  <si>
    <t>الملفات المنتهية لوجود ملف مماثل لدى نيابة جرائم الفساد</t>
  </si>
  <si>
    <t>متوفر بالكامل (مؤشر جديد لم يكن مدرجًا)</t>
  </si>
  <si>
    <t>تفصيل الشكاوى الجديدة/الملحقة وتفصيل الملفات والشكاوى المغلقة حسب نوع القرار</t>
  </si>
  <si>
    <t>جزئي (شكاوى جديدة/ملحقة: 2022 و2023 فقط؛ تفصيل حسب نوع القرار: متوفر بالكامل للأعوام الأربعة)</t>
  </si>
  <si>
    <t>الشكاوى والبلاغات الواردة لهيئة مكافحة الفساد حسب مصدر التقديم</t>
  </si>
  <si>
    <t>متوفر بالكامل (مؤشر جديد من نماذج الشكاوى - مستوى الشكاوى وليس الملفات)</t>
  </si>
  <si>
    <t>تصنيف الشكاوى والبلاغات حسب التكييف الأولي لجرم الفساد</t>
  </si>
  <si>
    <t>جزئي (بدون مجموع مثبت في النموذج الأصلي)</t>
  </si>
  <si>
    <t>توزيع الشكاوى والبلاغات حسب القطاع</t>
  </si>
  <si>
    <t>توزيع الشكاوى والبلاغات حسب طريقة الاستلام</t>
  </si>
  <si>
    <t>متوفر بالكامل (مؤشر جديد)</t>
  </si>
  <si>
    <t>توزيع الشكاوى والبلاغات حسب جنس المشتكى عليه</t>
  </si>
  <si>
    <t>توزيع الشكاوى والبلاغات حسب الدرجة الوظيفية للمشتكى عليه</t>
  </si>
  <si>
    <t>ملاحظة: تمت مراجعة ملفات 'نماذج التحقيق' و'نماذج الحماية' و'نماذج الشكاوى' و'نماذج النيابة والمحكمة' كمصادر تكميلية. نماذج 'التحقيق' و'النيابة والمحكمة' لم تتضمن بيانات رقمية إضافية عما هو مثبت مسبقًا (قوالب فارغة أو بيانات مطابقة لعام 2022 فقط)، بينما زوّدت نماذج 'الحماية' و'الشكاوى' ببيانات فعلية جديدة استُخدمت لتحديث المؤشرات 15 و16، وإضافة صفحات تفصيلية جديدة (15ب، 15ج، 28-33).</t>
  </si>
  <si>
    <t>ملخص القضايا والمشتبه بهم لدى نيابة جرائم الفساد (نموذج رقم 1)</t>
  </si>
  <si>
    <t>متوفر بالكامل (مؤشر جديد من نموذج نيابة جرائم الفساد)</t>
  </si>
  <si>
    <t>عدد الجهات المكلفة بتقديم إقرارات الذمة المالية (مؤشر جديد 11ب)</t>
  </si>
  <si>
    <t>عدد الإقرارات الدورية (تجديد كل 5 سنوات) (مؤشر جديد 12ب)</t>
  </si>
  <si>
    <t>المجموع التراكمي لإقرارات الذمة المالية منذ 2012 (مؤشر جديد 12ج)</t>
  </si>
  <si>
    <t>التوزيع النسبي التراكمي للإقرارات حسب فئة المكلفين 2012-2024 (مؤشر جديد 12د)</t>
  </si>
  <si>
    <t>تفصيل فحص إقرارات الذمة المالية حسب السبب والجنس (مؤشر جديد ضمن شيت 14)</t>
  </si>
  <si>
    <t>متوفر بالكامل (مؤشر جديد - يحتاج مطابقة مع البيانات السابقة)</t>
  </si>
  <si>
    <t>مؤشرات مضافة حديثاً بعد التدقيق الإضافي (راجع الشيتات 42-46)</t>
  </si>
  <si>
    <t>ضبط وإعادة أموال عامة (بالشيكل)</t>
  </si>
  <si>
    <t>متوفر جزئياً (2022 و2023 فقط - غير موجود في تقريري 2024 و2025)</t>
  </si>
  <si>
    <t>تقارير التدقيق والتحليل المالي والإداري</t>
  </si>
  <si>
    <t>متوفر بالكامل للأعوام الأربعة</t>
  </si>
  <si>
    <t>جهود دائرة الرصد (تفصيل المصادر)</t>
  </si>
  <si>
    <t>متوفر جزئياً (تفصيل كامل 2024 و2025 فقط)</t>
  </si>
  <si>
    <t>بيانات استثنائية خاصة بقطاع غزة</t>
  </si>
  <si>
    <t>متوفر لعام 2024 فقط (مؤشر استثنائي مرتبط بظروف الحرب)</t>
  </si>
  <si>
    <t>مؤشرات إضافية متفرقة (خبرة فنية...)</t>
  </si>
  <si>
    <t>بيانات جزئية غير منتظمة</t>
  </si>
  <si>
    <t>تنبيهات تدقيق على مؤشرات قائمة سابقاً (تعارضات مع التقارير السنوية الأصلية تم تصحيحها/تمييزها):</t>
  </si>
  <si>
    <t>• شيت 8 (المحالين لمحكمة الفساد): فروقات في أعوام 2022، 2023، 2024 عن التقرير السنوي الأصلي - تم تمييز الخلايا وإضافة ملاحظة.</t>
  </si>
  <si>
    <t>• شيت 9 (القضايا المفصولة بحكم): فروقات في أعوام 2023 و2024 - تم تمييز الخلايا وإضافة ملاحظة.</t>
  </si>
  <si>
    <t>• شيت 10 (المدانين): فرق في عام 2023 (10 وليس 11) - تم تمييز الخلايا وإضافة ملاحظة.</t>
  </si>
  <si>
    <t>• شيت 15 (طلبات الحماية الواردة): تم تعبئة صف الإجمالي الفارغ، وتصحيح عدد الذكور لعام 2024 (24 بدلاً من 26).</t>
  </si>
  <si>
    <t>1. عدد التشريعات-البنود المُقرّة أو المعدّلة المعزِّزة للوقاية من الفساد</t>
  </si>
  <si>
    <t>⬆ رجوع للملخص العام</t>
  </si>
  <si>
    <t>مجموع أعداد التشريعات/البنود التي تم إقرارها أو تعديلها سنويًا كمعزِّزة للبيئة الطاردة للفساد</t>
  </si>
  <si>
    <t>البيان</t>
  </si>
  <si>
    <t>2022</t>
  </si>
  <si>
    <t>2023</t>
  </si>
  <si>
    <t>2024</t>
  </si>
  <si>
    <t>2025</t>
  </si>
  <si>
    <t>عدد التشريعات/البنود</t>
  </si>
  <si>
    <t>ملاحظة: هذا المؤشر غير مرصود في التقارير السنوية المرفقة (تقارير الإدارة العامة للتحقيق)، إذ إن مصدره الرسمي المفترض هو سجلات الهيئة والجريدة الرسمية، وهو غير موضّح ضمن هذه التقارير. الأرقام التي اضفتها تم البحث عنها بالانترنت</t>
  </si>
  <si>
    <t>📊 يوضح الرسم البياني أعلاه: 1. عدد التشريعات-البنود المُقرّة أو المعدّلة المعزِّزة للوقاية من الفساد — مقارنة الأرقام عبر الأعوام المتاحة في الجدول المقابل.</t>
  </si>
  <si>
    <t>2. جودة وفاعلية التشريعات ذات العلاقة بمكافحة الفساد</t>
  </si>
  <si>
    <t>مؤشر تقييمي عبر استطلاع رأي/مجموعات بؤرية بالتنسيق مع الجهاز المركزي للإحصاء الفلسطيني</t>
  </si>
  <si>
    <t>📊 لا يمكن إنشاء رسم بياني لهذا المؤشر لعدم توفر أي بيانات رقمية له في التقارير المرفقة.</t>
  </si>
  <si>
    <t>تقييم/عدد</t>
  </si>
  <si>
    <t>ملاحظة: غير متوفر في التقارير المرفقة؛ هذا المؤشر يعتمد على استطلاع رأي مخصص بالتعاون مع الجهاز المركزي للإحصاء الفلسطيني وليس على سجلات الإدارة العامة للتحقيق.</t>
  </si>
  <si>
    <t>3. مؤشر الملفات التحقيقية المحالة إلى النائب العام حسب القطاع وحسب الجرم</t>
  </si>
  <si>
    <t>توزيع الملفات المحالة للنائب العام سنويًا حسب القطاع (الجهة) وحسب نوع التكييف الجرمي</t>
  </si>
  <si>
    <t>أ) توزيع الملفات المحالة حسب القطاع (الجهة)</t>
  </si>
  <si>
    <t>القطاع/الجهة</t>
  </si>
  <si>
    <t>قطاع عام/وزارات ومؤسسات وزارية</t>
  </si>
  <si>
    <t>هيئات محلية</t>
  </si>
  <si>
    <t>جمعيات</t>
  </si>
  <si>
    <t>اتحادات ونقابات</t>
  </si>
  <si>
    <t>شركة/شركات مساهمة عامة</t>
  </si>
  <si>
    <t>خبراء – مخمن عقاري</t>
  </si>
  <si>
    <t>لجان</t>
  </si>
  <si>
    <t>مؤسسة عامة</t>
  </si>
  <si>
    <t>مكلف بخدمة عامة</t>
  </si>
  <si>
    <t>جمعيات خيرية</t>
  </si>
  <si>
    <t>حارس قضائي</t>
  </si>
  <si>
    <t>أندية</t>
  </si>
  <si>
    <t>مؤسسات منظمة التحرير</t>
  </si>
  <si>
    <t>📊 يوضح الرسم البياني أعلاه: أ) الملفات المحالة حسب القطاع/الجهة — مقارنة الأرقام عبر الأعوام المتاحة في الجدول المقابل.</t>
  </si>
  <si>
    <t>المجموع</t>
  </si>
  <si>
    <t>ب) توزيع الملفات المحالة حسب نوع التكييف الجرمي</t>
  </si>
  <si>
    <t>اساءة استعمال السلطة</t>
  </si>
  <si>
    <t>التزوير/إعطاء مصدقات كاذبة/استعمال سند مزور</t>
  </si>
  <si>
    <t>إساءة الائتمان</t>
  </si>
  <si>
    <t>الاختلاس</t>
  </si>
  <si>
    <t>التهاون في أداء الواجبات الوظيفية</t>
  </si>
  <si>
    <t>غسل الأموال</t>
  </si>
  <si>
    <t>الكسب غير المشروع</t>
  </si>
  <si>
    <t>الاستثمار الوظيفي / الحصول على منفعة شخصية / الاتجار غير المشروع</t>
  </si>
  <si>
    <t>الحصول على منفعة شخصية (منفصلاً)</t>
  </si>
  <si>
    <t>إعاقة سير العدالة</t>
  </si>
  <si>
    <t>الرشوة</t>
  </si>
  <si>
    <t>قبول الواسطة والمحسوبية والمحاباة</t>
  </si>
  <si>
    <t>📊 يوضح الرسم البياني أعلاه: ب) الملفات المحالة حسب نوع الجرم — مقارنة الأرقام عبر الأعوام المتاحة في الجدول المقابل.</t>
  </si>
  <si>
    <t>عدم الإفصاح عن تضارب المصالح</t>
  </si>
  <si>
    <t>المتاجرة بالنفوذ</t>
  </si>
  <si>
    <t>ملاحظة: بعض الملفات تشمل أكثر من قطاع أو أكثر من تكييف جرمي واحد، لذا قد يفوق مجموع الجدول عدد الملفات الفعلي. كما تم تصحيح قيمة 'الاستثمار الوظيفي' ضمن تكييفات عام 2024 (كانت مُعلّمة خطأً '0' والصحيح 2).</t>
  </si>
  <si>
    <t>تنبيه بشأن جودة بيانات المصدر: جدول توزيع القطاعات لعام 2024 أعلاه ينص حرفيًا في التقرير الأصلي على مجموع (73)، إلا أن مجموع البنود المفردة المذكورة فيه (هيئات محلية 20 + مؤسسة عامة 1 + قطاع عام 13 + مكلف بخدمة عامة 1 + جمعيات خيرية 1 + حارس قضائي 1) يساوي (37) فقط. يبدو أن الرقم (73) في التقرير الأصلي مكرر من مجموع جدول تكييف الجرائم المجاور (الذي يصح مجموعه فعليًا 73). هذا تناقض وارد في التقرير الأصلي نفسه وليس ناتجًا عن معالجتنا؛ يُنصح بمراجعة النسخة الأصلية للتأكد من الرقم الصحيح لمجموع القطاعات.</t>
  </si>
  <si>
    <t>4. عدد الملفات التحقيقية لدى الهيئة (الملفات الواردة)</t>
  </si>
  <si>
    <t>عدد الملفات التحقيقية المسجّلة/الواردة للإدارة العامة للتحقيق سنويًا</t>
  </si>
  <si>
    <t>عدد الملفات الواردة</t>
  </si>
  <si>
    <t>عدد الشكاوى والبلاغات (سجل أحوال) المرتبطة</t>
  </si>
  <si>
    <t>منها: شكاوى وبلاغات جديدة</t>
  </si>
  <si>
    <t>منها: شكاوى وبلاغات ملحقة بملفات تحقيقية سابقة</t>
  </si>
  <si>
    <t>ملاحظة: تفصيل (جديد/ملحق بملف سابق) ورد صراحة في تقريري 2022 و2023 فقط ضمن نص الملفات الواردة؛ تقريرا 2024 و2025 اكتفيا بذكر الإجمالي دون هذا التفصيل.</t>
  </si>
  <si>
    <t>📊 يوضح الرسم البياني أعلاه: 4. عدد الملفات التحقيقية لدى الهيئة (الملفات الواردة) — مقارنة الأرقام عبر الأعوام المتاحة في الجدول المقابل.</t>
  </si>
  <si>
    <t>5. عدد الملفات التحقيقية المنجزة لدى الهيئة</t>
  </si>
  <si>
    <t>عدد الملفات (بدلاً من النسبة المئوية بحسب طلبكم) - عدد ملفات التحقيق الأولي التي أُنجزت خلال فترة التقرير</t>
  </si>
  <si>
    <t>عدد ملفات التحقيق الأولي المنجزة</t>
  </si>
  <si>
    <t>عدد القرارات الصادرة بشأنها</t>
  </si>
  <si>
    <t>عدد الشكاوى والبلاغات المغلقة بموجبها</t>
  </si>
  <si>
    <t>📊 يوضح الرسم البياني أعلاه: 5. عدد الملفات التحقيقية المنجزة لدى الهيئة — مقارنة الأرقام عبر الأعوام المتاحة في الجدول المقابل.</t>
  </si>
  <si>
    <t>6. عدد القضايا التحقيقية الواردة لنيابة جرائم الفساد</t>
  </si>
  <si>
    <t>عدد الملفات/القضايا المحالة من الإدارة العامة للتحقيق إلى النائب العام سنويًا</t>
  </si>
  <si>
    <t>عدد الملفات المحالة للنائب العام</t>
  </si>
  <si>
    <t>عدد قرارات الإحالة الصادرة</t>
  </si>
  <si>
    <t>عدد الأشخاص المشتبه بهم المحالين</t>
  </si>
  <si>
    <t>منهم إناث (مصنّف حسب الجنس - متوفر لعام 2025 فقط)</t>
  </si>
  <si>
    <t>منهم ذكور (مصنّف حسب الجنس - متوفر لعام 2025 فقط)</t>
  </si>
  <si>
    <t>ملاحظة: التقارير المرفقة صادرة عن الإدارة العامة للتحقيق في هيئة مكافحة الفساد (وليست عن نيابة جرائم الفساد نفسها)، لذا فإن الرقم الممثَّل هو 'عدد الملفات المحالة من الهيئة إلى النائب العام' وقد يختلف عن رقم 'القضايا الواردة' لدى سجلات النيابة ذاتها.</t>
  </si>
  <si>
    <t>📊 يوضح الرسم البياني أعلاه: 6. عدد القضايا التحقيقية الواردة لنيابة جرائم الفساد — مقارنة الأرقام عبر الأعوام المتاحة في الجدول المقابل.</t>
  </si>
  <si>
    <t>7. نسبة ملفات التحقيق الجزائي المنجزة لدى نيابة جرائم الفساد</t>
  </si>
  <si>
    <t>نسبة القضايا المنجزة من إجمالي الواردة إلى نيابة جرائم الفساد</t>
  </si>
  <si>
    <t>النسبة المئوية</t>
  </si>
  <si>
    <t>عدد القضايا الواردة (المستخدمة بالحساب)</t>
  </si>
  <si>
    <t>ملاحظة وشرح طريقة الاحتساب:
1) عدد القضايا الواردة (الصف 6) = مرجع مباشر لخلية "القضايا الواردة - المجموع" في شيت "34-نموذج1 قضايا ومشتبهين" (صف 7).
2) عدد القضايا المنجزة (الصف 8) = مجموع (إحالة لمحكمة جرائم الفساد + حفظ + إحالة لجهات أخرى) من نفس الشيت 34 (الصفوف 10 إلى 12)، لأن هذه الإجراءات الثلاثة تمثل مجتمعة "إنجاز" الملف لدى النيابة.
3) النسبة المئوية (الصف 5) = (عدد القضايا المنجزة ÷ عدد القضايا الواردة) × 100، محسوبة تلقائيًا بمعادلة Excel حية ترتبط بشيت 34، بحيث لو تغيّر أي رقم مصدري هناك تتحدّث النسبة هنا تلقائيًا.
تحفظ مهم: النسبة تجاوزت 100% في أعوام 2023 و2024 و2025، لأن عدد الملفات المنجزة في السنة قد يشمل ملفات متراكمة من سنوات سابقة (Backlog) وليس فقط الملفات الواردة في نفس السنة. لذا فهذه نسبة تقريبية لمستوى النشاط السنوي وليست نسبة "إنجاز فوري" دقيقة بالمعنى الرسمي الصارم للمؤشر.</t>
  </si>
  <si>
    <t>عدد القضايا المنجزة (المستخدمة بالحساب)</t>
  </si>
  <si>
    <t>📊 يوضح الرسم البياني أعلاه: 7. نسبة ملفات التحقيق الجزائي المنجزة لدى نيابة جرائم الفساد — مقارنة الأرقام عبر الأعوام المتاحة في الجدول المقابل.</t>
  </si>
  <si>
    <t>8. عدد المتهمين المحالين من نيابة جرائم الفساد إلى محكمة جرائم الفساد</t>
  </si>
  <si>
    <t>مجموع عدد المتهمين المحالين سنويًا إلى محكمة جرائم الفساد</t>
  </si>
  <si>
    <t>عدد المتهمين المحالين</t>
  </si>
  <si>
    <t>عدد المتهمين المحالين - ذكور</t>
  </si>
  <si>
    <t>عدد المتهمين المحالين - إناث</t>
  </si>
  <si>
    <t>ملاحظة: تم تحديث هذا المؤشر بالاستناد إلى نموذج إحصائي رسمي إضافي صادر عن هيئة مكافحة الفساد (نموذج رقم 1: ملخص القضايا والمشتبه بهم والمتهمين)، يوضح عدد المتهمين المحالين فعليًا للمحكمة مصنّفين حسب الجنس.</t>
  </si>
  <si>
    <t>تنبيه تدقيق (مقارنة مع التقارير السنوية الأصلية): 2022 التقرير السنوي يذكر 62 متهماً (60+2 أشخاص معنويين لم يُدرجوا هنا) - ص44. 2023 التقرير السنوي يذكر 101 متهماً (89 ذكور + 12 إناث) بينما هنا 90 (89 ذكور + 1 أنثى فقط) - خطأ في عدد الإناث - ص50. 2024 التقرير السنوي يذكر 65 متهماً (59 ذكور + 6 إناث) بينما هنا 74 (68 ذكور + 6 إناث) - خطأ في عدد الذكور - ص64. يوصى بمطابقة نموذج رقم 1 مع نص التقرير السنوي قبل الاعتماد النهائي.</t>
  </si>
  <si>
    <t>📊 يوضح الرسم البياني أعلاه: 8. عدد المتهمين المحالين من نيابة جرائم الفساد إلى محكمة جرائم الفساد — مقارنة الأرقام عبر الأعوام المتاحة في الجدول المقابل.</t>
  </si>
  <si>
    <t>9. عدد القضايا المفصولة بحكم في محكمة جرائم الفساد</t>
  </si>
  <si>
    <t>مجموع عدد القضايا المفصولة بحكم نهائي</t>
  </si>
  <si>
    <t>عدد القضايا المفصولة</t>
  </si>
  <si>
    <t>نتيجة الحكم: إدانة</t>
  </si>
  <si>
    <t>نتيجة الحكم: براءة</t>
  </si>
  <si>
    <t>عدم اختصاص</t>
  </si>
  <si>
    <t>الطعن في الحكم (براءة)</t>
  </si>
  <si>
    <t>الطعن في الحكم (إدانة)</t>
  </si>
  <si>
    <t>تنبيه تدقيق: 2023 التقرير السنوي يذكر إجمالي 11 حكماً (6 إدانة + 4 براءة + 1 انقضاء دعوى) بينما هنا المجموع 10 (ينقص حكم "انقضاء الدعوى الجزائية" غير مدرج ضمن الأعمدة) - ص50. 2024 التقرير السنوي يذكر إجمالي 12 حكماً (8 إدانة + 2 براءة + 1 انقضاء دعوى + 1 عدم اختصاص) بينما هنا المجموع 13 - يوجد فرق حكم واحد - ص65. يوصى بإضافة عمود "انقضاء الدعوى الجزائية" ومطابقة الأرقام مع النص الأصلي.</t>
  </si>
  <si>
    <t>📊 يوضح الرسم البياني أعلاه: 9. عدد القضايا المفصولة بحكم في محكمة جرائم الفساد — مقارنة الأرقام عبر الأعوام المتاحة في الجدول المقابل.</t>
  </si>
  <si>
    <t>10. عدد المدانين في القضايا المفصولة بحكم في محكمة جرائم الفساد</t>
  </si>
  <si>
    <t>مجموع عدد المدانين في القضايا المفصولة بحكم</t>
  </si>
  <si>
    <t>عدد المدانين</t>
  </si>
  <si>
    <t>عدد المدانين - ذكور</t>
  </si>
  <si>
    <t>عدد المدانين - إناث</t>
  </si>
  <si>
    <t>ملاحظة: تم تحديث هذا المؤشر بالاستناد إلى نموذج إحصائي رسمي إضافي صادر عن هيئة مكافحة الفساد (نموذج رقم 2: نتائج الأحكام وعدد المدانين)، مصنّفًا حسب الجنس.</t>
  </si>
  <si>
    <t>تنبيه تدقيق: 2023 التقرير السنوي يذكر عدد المدانين 10 (وليس 11) - نص ص50/65: "10 متهمين ذكوراً حُكم عليهم بالإدانة". باقي الأعوام (2022=10، 2024=12) مطابقة للتقرير السنوي.</t>
  </si>
  <si>
    <t>📊 يوضح الرسم البياني أعلاه: 10. عدد المدانين في القضايا المفصولة بحكم في محكمة جرائم الفساد — مقارنة الأرقام عبر الأعوام المتاحة في الجدول المقابل.</t>
  </si>
  <si>
    <t>11. عدد المكلفين بإقرارات الذمة المالية</t>
  </si>
  <si>
    <t>عدد المكلفين بإقرارات الذمة المالية بموجب إشعار خلال الفترة</t>
  </si>
  <si>
    <t>عدد المكلفين</t>
  </si>
  <si>
    <t>ملاحظة: عدد الأفراد المكلفين ما زال غير متوفر. المتوفر لدينا هو عدد "الجهات" المكلفة (وليس عدد الأشخاص) — أُضيف كمؤشر منفصل رقم 11ب.</t>
  </si>
  <si>
    <t>12. عدد إقرارات الذمة المالية الموزعة على المكلفين في الجهات الخاضعة</t>
  </si>
  <si>
    <t>عدد الإقرارات التي قامت الهيئة بتوزيعها على المكلفين</t>
  </si>
  <si>
    <t>عدد نماذج إقرارات الذمة المالية الموزعة (المسلمة للمكلفين)</t>
  </si>
  <si>
    <t>المصدر: بيانات مزودة من المستخدم استناداً إلى تقارير الهيئة (2022-2025).</t>
  </si>
  <si>
    <t>📊 يوضح الرسم البياني أعلاه: 12. عدد إقرارات الذمة المالية الموزعة على المكلفين في الجهات الخاضعة — مقارنة الأرقام عبر الأعوام المتاحة في الجدول المقابل.</t>
  </si>
  <si>
    <t>13. نسبة إقرارات الذمة المالية المستوفاة</t>
  </si>
  <si>
    <t>عدد الإقرارات المستلمة فعليًا ÷ عدد الإقرارات المطلوبة × 100%</t>
  </si>
  <si>
    <t>إجمالي الإقرارات المستلمة فعلياً</t>
  </si>
  <si>
    <t>النسبة المئوية (المستلمة ÷ الموزعة)</t>
  </si>
  <si>
    <t>📊 يوضح الرسم البياني أعلاه: 13. نسبة إقرارات الذمة المالية المستوفاة — مقارنة الأرقام عبر الأعوام المتاحة في الجدول المقابل.</t>
  </si>
  <si>
    <t>14. نسبة إقرارات الذمة المالية التي تم فضها لأغراض الفحص الدوري</t>
  </si>
  <si>
    <t>عدد الإقرارات التي تم فضها ÷ إجمالي الإقرارات المستلمة × 100 (النسبة غير قابلة للاحتساب لعدم توفر المقام/الإجمالي في التقارير)</t>
  </si>
  <si>
    <t>تنبيه: تم تزويدنا ببيانات فحص جديدة (أدناه) من مصدر آخر (تقرير فحص إقرارات الذمة المالية) تختلف عن الأرقام أعلاه (مثال: عدد الأشخاص عام 2023 = 21 حسب المصدر الجديد مقابل 18 أعلاه، وعام 2024 = 3 مقابل 10 أعلاه). كما أن المصدر الجديد يغطي عامي 2022 و2025 اللذين كانا غير متوفرين. يُنصح بالتحقق من التقرير الأصلي لتحديد المصدر الأدق قبل اعتماد رقم واحد نهائي.</t>
  </si>
  <si>
    <t>بيانات فحص إقرارات الذمة المالية (مصدر جديد)</t>
  </si>
  <si>
    <t>عدد الإقرارات المفحوصة</t>
  </si>
  <si>
    <t>عدد الأشخاص (المكلفين)</t>
  </si>
  <si>
    <t>الفحص بناءً على شكوى</t>
  </si>
  <si>
    <t>الفحص بناءً على بلاغ/تحري</t>
  </si>
  <si>
    <t>فحص بطلب من نيابة الفساد</t>
  </si>
  <si>
    <t>-</t>
  </si>
  <si>
    <t>📊 يوضح الرسم البياني أعلاه: فض/فحص الإقرارات (بيانات جزئية 2023-2024) — مقارنة الأرقام عبر الأعوام المتاحة في الجدول المقابل.</t>
  </si>
  <si>
    <t>عدد الذكور</t>
  </si>
  <si>
    <t>عدد الإناث</t>
  </si>
  <si>
    <t>📊 يوضح الرسم البياني أعلاه: فحص الإقرارات حسب السبب والجنس (بيانات جديدة 2022-2025) — مقارنة الأرقام عبر الأعوام المتاحة في الجدول المقابل.</t>
  </si>
  <si>
    <t>15. عدد طلبات الحماية الواردة للهيئة</t>
  </si>
  <si>
    <t>مجموع عدد طلبات الحماية الواردة من المبلغين والمشتكين والأشخاص وثيقي الصلة بهم - مصدر البيانات: نموذج رقم (1) - وحدة حماية الشهود والمبلغين</t>
  </si>
  <si>
    <t>عدد طلبات الحماية - ذكور</t>
  </si>
  <si>
    <t>عدد طلبات الحماية - إناث</t>
  </si>
  <si>
    <t>إجمالي عدد طلبات الحماية الواردة</t>
  </si>
  <si>
    <t>ملاحظة: بيانات هذا الجدول مأخوذة حرفيًا من 'نموذج رقم (1): طلبات الحماية الواردة حسب الجنس' الصادر عن وحدة حماية الشهود والمبلغين، وليست ضمن التقارير السنوية للإدارة العامة للتحقيق. تنبيه بشأن بيانات المصدر: في عام 2024 مجموع (ذكر 26 + أنثى 2 = 28) لا يطابق رقم الإجمالي المذكور صراحة في النموذج الأصلي (26)؛ تم إثبات الرقمين كما وردا حرفيًا في المصدر دون تعديل، وهذا التناقض وارد في المصدر نفسه.</t>
  </si>
  <si>
    <t>تم تعبئة صف "إجمالي عدد طلبات الحماية الواردة" (كان فارغاً): 2022=32، 2023=15، 2024=26، 2025=28 (مجموع ذكور+إناث في كل عام حسب التقارير السنوية). كما تم تصحيح عدد الذكور لعام 2024 من 26 إلى 24 وفق نص التقرير السنوي 2024 (ص45) الذي ينص صراحة على أن المجموع 26 يتوزع إلى 24 ذكور و2 إناث.</t>
  </si>
  <si>
    <t>📊 يوضح الرسم البياني أعلاه: 15. عدد طلبات الحماية الواردة للهيئة — مقارنة الأرقام عبر الأعوام المتاحة في الجدول المقابل.</t>
  </si>
  <si>
    <t>15ب. طلبات الحماية الواردة حسب نوع الحماية والنتيجة</t>
  </si>
  <si>
    <t>مصدر البيانات: نموذج رقم (2) - وحدة حماية الشهود والمبلغين</t>
  </si>
  <si>
    <t>السنة</t>
  </si>
  <si>
    <t>النتيجة</t>
  </si>
  <si>
    <t>حماية وظيفية</t>
  </si>
  <si>
    <t>حماية شخصية</t>
  </si>
  <si>
    <t>حماية قانونية</t>
  </si>
  <si>
    <t>قبول</t>
  </si>
  <si>
    <t>رفض</t>
  </si>
  <si>
    <t>مجموع</t>
  </si>
  <si>
    <t>ملاحظة: البيانات كما وردت حرفيًا في النموذج الأصلي. لعام 2024، صف 'قبول' يُظهر (وظيفية 2 + شخصية 0 + قانونية 0) لكن عمود المجموع المذكور صراحة في المصدر هو (0) - وهو تناقض وارد في المصدر نفسه دون تعديل من قبلنا.</t>
  </si>
  <si>
    <t>📊 يوضح الرسم البياني أعلاه: 15ب. طلبات الحماية الواردة حسب نوع الحماية والنتيجة — مقارنة الأرقام عبر الأعوام المتاحة في الجدول المقابل.</t>
  </si>
  <si>
    <t>سنة</t>
  </si>
  <si>
    <t>حماية وظيفية (رفض)</t>
  </si>
  <si>
    <t>حماية شخصية (رفض)</t>
  </si>
  <si>
    <t>حماية قانونية (رفض)</t>
  </si>
  <si>
    <t>15ج. طلبات الحماية الواردة حسب الجهة المطلوب الحماية منها</t>
  </si>
  <si>
    <t>مصدر البيانات: نموذج رقم (3) - وحدة حماية الشهود والمبلغين. متوفر لعام 2023 فقط ضمن النموذج المرفق</t>
  </si>
  <si>
    <t>الجهة</t>
  </si>
  <si>
    <t>وزارات أو هيئات رسمية</t>
  </si>
  <si>
    <t>أجهزة ومؤسسات أمنية</t>
  </si>
  <si>
    <t>شركات</t>
  </si>
  <si>
    <t>أفراد</t>
  </si>
  <si>
    <t>نقابات</t>
  </si>
  <si>
    <t>أخرى</t>
  </si>
  <si>
    <t>ملاحظة: النموذج الأصلي لا يتضمن بيانات إلا لعام 2023؛ باقي الأعوام (2022، 2024، 2025) غير مثبتة ضمن النموذج المرفق.</t>
  </si>
  <si>
    <t>📊 يوضح الرسم البياني أعلاه: 15ج. طلبات الحماية الواردة حسب الجهة المطلوب الحماية منها — مقارنة الأرقام عبر الأعوام المتاحة في الجدول المقابل.</t>
  </si>
  <si>
    <t>16. عدد طلبات التظلم على طلبات الحماية الواردة للهيئة</t>
  </si>
  <si>
    <t>مصدر البيانات: نموذج رقم (4) - وحدة حماية الشهود والمبلغين</t>
  </si>
  <si>
    <t>عدد طلبات التظلم</t>
  </si>
  <si>
    <t>منها: قبول</t>
  </si>
  <si>
    <t xml:space="preserve">منها: رفض                                                                       </t>
  </si>
  <si>
    <t>ملاحظة: بيانات هذا الجدول مأخوذة حرفيًا من نموذج رقم (4) الصادر عن وحدة حماية الشهود والمبلغين. الإجمالي (4+0+2+1=7) يطابق مجموع عمود 'عدد طلبات التظلم' الوارد في نموذج رقم (1) لنفس الوحدة.</t>
  </si>
  <si>
    <t>📊 يوضح الرسم البياني أعلاه: 16. عدد طلبات التظلم على طلبات الحماية الواردة للهيئة — مقارنة الأرقام عبر الأعوام المتاحة في الجدول المقابل.</t>
  </si>
  <si>
    <t>17. عدد طلبات الحماية التي تمت المتابعة عليها</t>
  </si>
  <si>
    <t>مجموع عدد طلبات الحماية التي تمت متابعتها</t>
  </si>
  <si>
    <t>عدد الطلبات المتابَعة</t>
  </si>
  <si>
    <t>عدد طلبات إعادة التقييم</t>
  </si>
  <si>
    <t>ملاحظة: غير متوفر لا في تقارير الإدارة العامة للتحقيق ولا في نموذج وحدة حماية الشهود والمبلغين ('نموذج رقم 4: طلبات الحماية التي تم المتابعة عليها') المرفق، والذي ورد فارغًا دون أي بيانات مثبتة.</t>
  </si>
  <si>
    <t>تصحيح: هذا المؤشر كان مصنفاً بالكامل "غير متوفر" لكن البيانات موجودة فعلياً في التقارير السنوية 2022 و2023 و2024 تحت عنوان "الطلبات المتفرعة عن ملفات/طلبات الحماية" (وليس فقط في نموذج رقم 4 المرفق). عام 2025 لا يزال غير متوفر في المصدر المتاح. تمت إضافة صف "إعادة التقييم" كبيانات تكميلية.</t>
  </si>
  <si>
    <t>18. نسبة الأفراد (18 سنة فأكثر) حسب وجهة نظرهم من انتشار الرشوة</t>
  </si>
  <si>
    <t>عدد من أفادوا بوجهة نظرهم من انتشار الرشوة ÷ إجمالي الأفراد (18+) × 100 - مسح كل خمس سنوات (SDGs)</t>
  </si>
  <si>
    <t>ملاحظة: غير متوفر في التقارير المرفقة؛ هذا مؤشر مسحي (استطلاعي) يُجرى دوريًا (كل خمس سنوات) بالتنسيق مع الجهاز المركزي للإحصاء الفلسطيني ولا يظهر في تقارير الإدارة العامة للتحقيق.</t>
  </si>
  <si>
    <t>19. نسبة الأشخاص الذين دفعوا رشوة فعليًا (معدل الانتشار الفعلي)</t>
  </si>
  <si>
    <t>عدد من دفعوا/طُلب منهم رشوة ÷ عدد من لديهم اتصال بمسؤول حكومي × 100 - مسح كل خمس سنوات (SDGs)</t>
  </si>
  <si>
    <t>ملاحظة: غير متوفر في التقارير المرفقة؛ هذا مؤشر مسحي (استطلاعي) وليس من سجلات الإدارة العامة للتحقيق.</t>
  </si>
  <si>
    <t>20. توزيع الملفات التحقيقية الواردة حسب القطاع (الجهة)</t>
  </si>
  <si>
    <t>توزيع الملفات الواردة للإدارة العامة للتحقيق سنويًا حسب نوع القطاع/الجهة</t>
  </si>
  <si>
    <t>القطاع العام (مجمّع)</t>
  </si>
  <si>
    <t>قطاع عام/مؤسسة غير وزارية</t>
  </si>
  <si>
    <t>قطاع عام/مؤسسة تعليمية</t>
  </si>
  <si>
    <t>الجمعيات</t>
  </si>
  <si>
    <t>محكمين</t>
  </si>
  <si>
    <t>هيئات أهلية</t>
  </si>
  <si>
    <t>شركة مساهمة خاصة</t>
  </si>
  <si>
    <t>محامون</t>
  </si>
  <si>
    <t>📊 يوضح الرسم البياني أعلاه: 20. توزيع الملفات التحقيقية الواردة حسب القطاع (الجهة) — مقارنة الأرقام عبر الأعوام المتاحة في الجدول المقابل.</t>
  </si>
  <si>
    <t>مكلفين بخدمة عامة</t>
  </si>
  <si>
    <t>حراس قضائيون</t>
  </si>
  <si>
    <t>سفارات</t>
  </si>
  <si>
    <t>شركة عقارات</t>
  </si>
  <si>
    <t>الغرفة التجارية</t>
  </si>
  <si>
    <t>الشركات الخاصة غير الخاضعة</t>
  </si>
  <si>
    <t>ملاحظة: بعض الملفات تضم أكثر من قطاع للشكوى/البلاغ الواردة في سجل الأحوال، وتصنيف 'القطاع العام' جاء مجمّعًا في تقريري 2024 و2025 دون تفصيل فرعي كما في 2022 و2023.</t>
  </si>
  <si>
    <t>21. تصنيف جرائم الفساد في الملفات الواردة للإدارة</t>
  </si>
  <si>
    <t>توزيع الملفات الواردة سنويًا حسب نوع التكييف الجرمي (تكييف أولي عند الورود)</t>
  </si>
  <si>
    <t>التهاون في أداء واجبات الوظيفة العمومية</t>
  </si>
  <si>
    <t>الاستثمار الوظيفي</t>
  </si>
  <si>
    <t>قبول الواسطة والمحسوبية (والمحاباة)</t>
  </si>
  <si>
    <t>الاستثمار الوظيفي / الحصول على منفعة شخصية / الاتجار غير المشروع (مدمج)</t>
  </si>
  <si>
    <t>عدم الاختصاص</t>
  </si>
  <si>
    <t>📊 يوضح الرسم البياني أعلاه: 21. تصنيف جرائم الفساد في الملفات الواردة للإدارة — مقارنة الأرقام عبر الأعوام المتاحة في الجدول المقابل.</t>
  </si>
  <si>
    <t>ملاحظة: تم تصحيح هذا الجدول - كانت بيانات عام 2024 مثبتة سابقًا خطأً في عمود 2023، وكان عمود 2024 مُعلّمًا كـ'0' رغم أن تقرير 2024 يتضمن هذا الجدول فعليًا (المجموع 193). بيانات عام 2023 الحقيقية (المجموع 280) أُضيفت الآن. لعام 2025 وردت فئتا 'الاستثمار الوظيفي' و'الحصول على منفعة شخصية' والاتجار غير المشروع مدمجة في تكييف واحد (16)، بخلاف بقية السنوات حيث وردت منفصلة. بعض الملفات تشمل أكثر من تكييف جرمي واحد.</t>
  </si>
  <si>
    <t>22. توزيع الملفات المحفوظة (قرار حفظ) حسب القطاع وحسب نوع الجرم</t>
  </si>
  <si>
    <t>متوفر بالتفصيل الكامل لعام 2022 فقط؛ باقي السنوات لم يرد فيها هذا المستوى من التفصيل ضمن التقارير المرفقة</t>
  </si>
  <si>
    <t>أ) حسب القطاع (الجهة)</t>
  </si>
  <si>
    <t>ب) حسب نوع التكييف الجرمي</t>
  </si>
  <si>
    <t>📊 يوضح الرسم البياني أعلاه: أ) الملفات المحفوظة حسب القطاع — مقارنة الأرقام عبر الأعوام المتاحة في الجدول المقابل.</t>
  </si>
  <si>
    <t>قبول الواسطة والمحسوبية</t>
  </si>
  <si>
    <t>التزوير/إعطاء مصدقات كاذبة</t>
  </si>
  <si>
    <t>ملاحظة: تقارير 2023 و2024 و2025 لم تتضمن تفصيل الملفات المحفوظة حسب القطاع/الجرم، واقتصرت على الرقم الإجمالي لعدد قرارات وملفات الحفظ ضمن الجدول العام.</t>
  </si>
  <si>
    <t>📊 يوضح الرسم البياني أعلاه: ب) الملفات المحفوظة حسب نوع الجرم — مقارنة الأرقام عبر الأعوام المتاحة في الجدول المقابل.</t>
  </si>
  <si>
    <t>23. عدد الملفات المحوّلة إلى النيابة العامة لعدم تشكيل الفعل جريمة فساد</t>
  </si>
  <si>
    <t>من ضمن الملفات المردودة لعدم الاختصاص، عدد الملفات التي حُوّلت إلى النيابة العامة كون الفعل يشكل جريمة أخرى غير جريمة فساد</t>
  </si>
  <si>
    <t>عدد الملفات المحوّلة للنيابة العامة</t>
  </si>
  <si>
    <t>إجمالي الملفات المردودة لعدم الاختصاص (للمقارنة)</t>
  </si>
  <si>
    <t>📊 يوضح الرسم البياني أعلاه: 23. عدد الملفات المحوّلة إلى النيابة العامة لعدم تشكيل الفعل جريمة فساد — مقارنة الأرقام عبر الأعوام المتاحة في الجدول المقابل.</t>
  </si>
  <si>
    <t>24. أعمال الضبط القضائي والتحري والاستدلال (التحقيق الأولي)</t>
  </si>
  <si>
    <t>إجراءات ميدانية وقضائية اتخذتها الإدارة العامة للتحقيق أثناء متابعة الملفات - متوفرة فقط في تقريري 2023 و2024</t>
  </si>
  <si>
    <t>عدد المراسلات القضائية الموجّهة لجهات مختلفة</t>
  </si>
  <si>
    <t>عدد الإفادات/الشهادات المسموعة في ملفات التحقيق الأولي</t>
  </si>
  <si>
    <t>عدد الأشخاص المُمنوعين من السفر</t>
  </si>
  <si>
    <t>قيمة الأموال المضبوطة في ملفات تحقيقية (شيقل)</t>
  </si>
  <si>
    <t>55,000 (في 3 ملفات)</t>
  </si>
  <si>
    <t>عدد قرارات فض وفحص إقرارات الذمة المالية (رئيس الهيئة)</t>
  </si>
  <si>
    <t>عدد الأشخاص المشمولين بفض/فحص إقراراتهم المالية</t>
  </si>
  <si>
    <t>عدد قرارات رفع السرية المصرفية الصادرة عن النيابة العامة</t>
  </si>
  <si>
    <t>استصدار قرار من النيابة العامة بالنفاذ المباشر لهاتف مشتبه به</t>
  </si>
  <si>
    <t>تكليف شخص مشتبه به بتقديم إقرار ذمة مالية جديد</t>
  </si>
  <si>
    <t>نعم</t>
  </si>
  <si>
    <t>عدد طلبات وقف عمل موظفين لوجود شبهة فساد</t>
  </si>
  <si>
    <t>الاستعانة بالمختبر الجنائي لتقرير خبرة فنية (مضاهاة خطوط)</t>
  </si>
  <si>
    <t>تنفيذ جولة ميدانية بالاستعانة بموظفي مساحة الأراضي</t>
  </si>
  <si>
    <t>عدد الجهات المخاطَبة ضمن برنامج الوقاية من مخاطر الفساد</t>
  </si>
  <si>
    <t>📊 يوضح الرسم البياني أعلاه: 24. أعمال الضبط القضائي والتحري والاستدلال (التحقيق الأولي) — مقارنة الأرقام عبر الأعوام المتاحة في الجدول المقابل.</t>
  </si>
  <si>
    <t>ملاحظة: هذا القسم (أعمال الضبط القضائي والتحري) لم يظهر إطلاقًا في تقريري 2022 و2025 المرفقين، وورد فقط ضمن تقريري 2023 و2024. تم تصحيح 'رفع السرية المصرفية' لتكون ضمن عام 2023 (وليس 2024 كما كان مثبتًا خطأً سابقًا)، وأُضيف إجراءان وردا في تقرير 2024 ولم يكونا مدرجين سابقًا: 'النفاذ المباشر لهاتف مشتبه به' و'تكليف شخص مشتبه به بتقديم إقرار ذمة مالية جديد'.</t>
  </si>
  <si>
    <t>25. نسب ومعدلات مشتقة من بيانات التقارير السنوية</t>
  </si>
  <si>
    <t>جميع النسب أدناه محسوبة بصيغ Excel ديناميكية اعتمادًا على الأرقام الأساسية المُدخلة (وليست أرقامًا ثابتة)</t>
  </si>
  <si>
    <t>البيانات الأساسية (مُدخلة من التقارير)</t>
  </si>
  <si>
    <t>الملفات التحقيقية الواردة</t>
  </si>
  <si>
    <t>الشكاوى والبلاغات (سجل أحوال) المرتبطة</t>
  </si>
  <si>
    <t>عدد قرارات الإحالة للنائب العام</t>
  </si>
  <si>
    <t>عدد قرارات الحفظ</t>
  </si>
  <si>
    <t>عدد قرارات الرد لعدم الاختصاص</t>
  </si>
  <si>
    <t>النسب والمعدلات المحسوبة (Formulas)</t>
  </si>
  <si>
    <t>المؤشر</t>
  </si>
  <si>
    <t>نسبة الإحالة للنائب العام من إجمالي الملفات الواردة</t>
  </si>
  <si>
    <t>نسبة الحفظ من إجمالي الملفات الواردة</t>
  </si>
  <si>
    <t>نسبة الرد لعدم الاختصاص من إجمالي الملفات الواردة</t>
  </si>
  <si>
    <t>متوسط عدد الشكاوى/البلاغات لكل ملف تحقيقي واحد</t>
  </si>
  <si>
    <t>📊 يوضح الرسم البياني أعلاه: أ) نسب ومعدلات مشتقة (المجموعة الأولى) — مقارنة الأرقام عبر الأعوام المتاحة في الجدول المقابل.</t>
  </si>
  <si>
    <t>نسبة الملفات المنجزة من إجمالي الملفات الواردة</t>
  </si>
  <si>
    <t>معدل النمو السنوي لعدد الملفات الواردة (عن السنة السابقة)</t>
  </si>
  <si>
    <t>الفرق بين عدد الملفات الواردة وعدد الملفات المنجزة (تراكم الملفات)</t>
  </si>
  <si>
    <t>ملاحظة: الأرقام الزرقاء في قسم 'البيانات الأساسية' هي مُدخلات مأخوذة حرفيًا من التقارير السنوية الأربعة، أما النسب في القسم الثاني فهي صيغ Excel تُحسب تلقائيًا من هذه المُدخلات وستتحدث تلقائيًا في حال تعديل أي رقم أساسي.</t>
  </si>
  <si>
    <t>📊 يوضح الرسم البياني أعلاه: ب) نسب ومعدلات مشتقة (المجموعة الثانية) — مقارنة الأرقام عبر الأعوام المتاحة في الجدول المقابل.</t>
  </si>
  <si>
    <t>26. عدد ملفات التحقيق الأولي المنتهية لوجود ملف تحقيقي آخر لدى نيابة جرائم الفساد بذات الموضوع</t>
  </si>
  <si>
    <t>بند 'منتهية' الظاهر ضمن جدول القرارات الصادرة في كل التقارير الأربعة (لم يكن مدرجًا سابقًا كمؤشر مستقل في الملف رغم توفره في كل التقارير)</t>
  </si>
  <si>
    <t>عدد الملفات المنتهية</t>
  </si>
  <si>
    <t>ملاحظة: يُقصد بهذا البند إنهاء أعمال التحقيق الأولي في الملف وإرسال كافة أعمال التحري والاستدلال إلى النائب العام، وذلك لوجود ملف تحقيقي آخر لدى نيابة جرائم الفساد يتعلق بذات الموضوع (وليس إحالة أو حفظ أو ردًا لعدم الاختصاص). المسمى في تقريري 2022/2023 'منتهية' وفي تقريري 2024/2025 'تحويل للنيابة العامة لوجود ملف تحقيقي لديهم بذات الموضوع'. [تم تصحيح: تقرير 2024 لا يتضمن فقرة 'انهاء أعمال التحقيق الأولي' منفصلة أصلاً (القيمة 2 المذكورة سابقًا كانت مأخوذة خطأً من شكاوى فئة الرد لعدم الاختصاص)؛ وتقرير 2025 ينص صراحة على إغلاق (2) شكوى وبلاغ بموجب هذا البند.]</t>
  </si>
  <si>
    <t>📊 يوضح الرسم البياني أعلاه: 26. عدد ملفات التحقيق الأولي المنتهية لوجود ملف تحقيقي آخر لدى نيابة جرائم الفسا — مقارنة الأرقام عبر الأعوام المتاحة في الجدول المقابل.</t>
  </si>
  <si>
    <t>27. تفصيل عدد الملفات وعدد الشكاوى/البلاغات المغلقة حسب نوع القرار (لكل سنة)</t>
  </si>
  <si>
    <t>مستخرج حرفيًا من نص الفقرة الوصفية 'الملفات المنجزة' في كل تقرير سنوي (وليس من الجدول الرأسي المختصر)</t>
  </si>
  <si>
    <t>أ) عدد الملفات (ملفات تحقيق أولي) حسب نوع القرار</t>
  </si>
  <si>
    <t>نوع القرار</t>
  </si>
  <si>
    <t>إحالة للنائب العام</t>
  </si>
  <si>
    <t>حفظ</t>
  </si>
  <si>
    <t>رد لعدم الاختصاص</t>
  </si>
  <si>
    <t>منتهية / تحويل للنيابة لوجود ملف مماثل</t>
  </si>
  <si>
    <t>المجموع (حسب جمع البنود)</t>
  </si>
  <si>
    <t>المجموع المذكور صراحة في التقرير</t>
  </si>
  <si>
    <t>ب) عدد الشكاوى والبلاغات (سجل أحوال) المغلقة حسب نوع القرار</t>
  </si>
  <si>
    <t>📊 يوضح الرسم البياني أعلاه: أ) تفصيل حسب نوع القرار (شكاوى جديدة/ملحقة) — مقارنة الأرقام عبر الأعوام المتاحة في الجدول المقابل.</t>
  </si>
  <si>
    <t>ملاحظة: في عام 2022 هناك فارق بسيط بين مجموع البنود المفردة والمجموع المذكور صراحة في التقرير (228 مقابل 229 ملف، و297 مقابل 298 شكوى) — وهذا تناقض بسيط وارد في التقرير الأصلي نفسه (على الأرجح بسبب ملف واحد متداخل بين فئتين)، وليس ناتجًا عن معالجتنا. في باقي الأعوام (2023، 2024، 2025) مجموع البنود يطابق المجموع المذكور صراحة تمامًا.</t>
  </si>
  <si>
    <t>ملاحظة: تقرير 2024 لا يتضمن فقرة 'منتهية' مستقلة إطلاقًا ضمن نص الملفات المنجزة (القرارات الثلاثة إحالة+حفظ+رد فقط = 137، مطابق للمجموع المذكور)؛ فقيمة 'عدد الملفات' لهذا البند تُركت 'غير متوفر' تحرزًا، فيما ورد رقم الشكاوى (2) ضمن فئة الرد لعدم الاختصاص أصلاً وليس كبند مستقل - تم استخدامه هنا للتوضيح مع الإشارة أنه ليس بندًا منفصلاً كما في باقي السنوات.</t>
  </si>
  <si>
    <t>]</t>
  </si>
  <si>
    <t>📊 يوضح الرسم البياني أعلاه: ب) تفصيل حسب نوع القرار (نتائج الفحص) — مقارنة الأرقام عبر الأعوام المتاحة في الجدول المقابل.</t>
  </si>
  <si>
    <t>28. عدد الشكاوى والبلاغات الواردة لهيئة مكافحة الفساد حسب مصدر التقديم</t>
  </si>
  <si>
    <t>مصدر البيانات: نموذج رقم (1) - الإدارة العامة للشكاوى والبلاغات والتحري. ملاحظة: هذا مؤشر على مستوى الشكاوى/البلاغات عند ورودها للهيئة ككل (قبل تسجيلها كملف تحقيقي)، وهو أوسع نطاقًا ومختلف عن مؤشر رقم (4) 'الملفات التحقيقية الواردة' الذي يقيس الملفات بعد فرزها؛ لا يجوز الجمع أو المقارنة المباشرة بين الرقمين.</t>
  </si>
  <si>
    <t>أفراد - ذكر</t>
  </si>
  <si>
    <t>أفراد - أنثى</t>
  </si>
  <si>
    <t>أفراد - ذكر وأنثى معاً</t>
  </si>
  <si>
    <t>مؤسسات</t>
  </si>
  <si>
    <t>مجهول / غير معروف</t>
  </si>
  <si>
    <t>ملاحظة: عمود 'ذكر وأنثى معاً' يمثل شكاوى/بلاغات مقدّمة من أكثر من فرد (ذكر وأنثى) معًا، كما ورد حرفيًا في النموذج الأصلي.</t>
  </si>
  <si>
    <t>📊 يوضح الرسم البياني أعلاه: 28. عدد الشكاوى والبلاغات الواردة لهيئة مكافحة الفساد حسب مصدر التقديم — مقارنة الأرقام عبر الأعوام المتاحة في الجدول المقابل.</t>
  </si>
  <si>
    <t>29. تصنيف الشكاوى والبلاغات الواردة حسب التكييف الأولي لجرم الفساد المشتبه به</t>
  </si>
  <si>
    <t>مصدر البيانات: نموذج رقم (2) - الإدارة العامة للشكاوى والبلاغات والتحري. مؤشر على مستوى الشكاوى/البلاغات (قبل التحري)، مختلف عن مؤشر رقم (21) 'تصنيف جرائم الفساد في الملفات الواردة' الذي يقيّم الملفات بعد الفرز والتحري الأولي.</t>
  </si>
  <si>
    <t>التكييف القانوني</t>
  </si>
  <si>
    <t>التهاون في القيام بالواجبات الوظيفية</t>
  </si>
  <si>
    <t>إساءة استعمال السلطة</t>
  </si>
  <si>
    <t>التزوير والتزييف</t>
  </si>
  <si>
    <t>استثمار الوظيفة</t>
  </si>
  <si>
    <t>غسل الأموال الناتجة عن جرائم فساد</t>
  </si>
  <si>
    <t>عدم اختصاص قبل مرحلة التحري</t>
  </si>
  <si>
    <t>📊 يوضح الرسم البياني أعلاه: 29. تصنيف الشكاوى والبلاغات الواردة حسب التكييف الأولي لجرم الفساد المشتبه به — مقارنة الأرقام عبر الأعوام المتاحة في الجدول المقابل.</t>
  </si>
  <si>
    <t>ملاحظة: صف 'المجموع' ورد فارغًا (غير مثبت) في النموذج الأصلي المرفق، ولم نقم باحتسابه لتجنّب أي جمع غير موثّق قد يخالف الرقم الرسمي إن وُجد.</t>
  </si>
  <si>
    <t>30. توزيع الشكاوى والبلاغات الواردة حسب القطاع</t>
  </si>
  <si>
    <t>مصدر البيانات: نموذج رقم (4) - الإدارة العامة للشكاوى والبلاغات والتحري. مؤشر على مستوى الشكاوى (قبل الفرز)، مختلف عن مؤشر رقم (20) 'توزيع الملفات الواردة حسب القطاع'.</t>
  </si>
  <si>
    <t>القطاع</t>
  </si>
  <si>
    <t>مؤسسات عامة</t>
  </si>
  <si>
    <t>مؤسسات المجتمع المدني</t>
  </si>
  <si>
    <t>قطاع خاص</t>
  </si>
  <si>
    <t>مؤسسات تعليمية ومراكز بحثية</t>
  </si>
  <si>
    <t>مؤسسات دولية</t>
  </si>
  <si>
    <t>مكلفون بأداء خدمة عامة</t>
  </si>
  <si>
    <t>غير خاضعين</t>
  </si>
  <si>
    <t>ملاحظة: صف 'المجموع' ورد فارغًا في النموذج الأصلي المرفق ولم يُحتسب تفاديًا لأي جمع غير موثّق.</t>
  </si>
  <si>
    <t>📊 يوضح الرسم البياني أعلاه: 30. توزيع الشكاوى والبلاغات الواردة حسب القطاع — مقارنة الأرقام عبر الأعوام المتاحة في الجدول المقابل.</t>
  </si>
  <si>
    <t>31. توزيع الشكاوى والبلاغات الواردة حسب طريقة الاستلام</t>
  </si>
  <si>
    <t>مصدر البيانات: نموذج رقم (5) - الإدارة العامة للشكاوى والبلاغات والتحري</t>
  </si>
  <si>
    <t>طريقة استلام الشكوى أو البلاغ</t>
  </si>
  <si>
    <t>الحضور الشخصي وتسليم باليد</t>
  </si>
  <si>
    <t>جهات ومؤسسات رسمية</t>
  </si>
  <si>
    <t>الرصد</t>
  </si>
  <si>
    <t>الوسائل والتطبيقات الإلكترونية</t>
  </si>
  <si>
    <t>ملاحظة: صف 'المجموع' ورد فارغًا في النموذج الأصلي؛ مجموع البنود المفردة لعام 2022 (315+65+14+485=879) يطابق إجمالي عدد الشكاوى الواردة لعام 2022 في نموذج رقم (1) لنفس المصدر.</t>
  </si>
  <si>
    <t>📊 يوضح الرسم البياني أعلاه: 31. توزيع الشكاوى والبلاغات الواردة حسب طريقة الاستلام — مقارنة الأرقام عبر الأعوام المتاحة في الجدول المقابل.</t>
  </si>
  <si>
    <t>32. توزيع الشكاوى والبلاغات الواردة حسب جنس المشتكى عليه</t>
  </si>
  <si>
    <t>مصدر البيانات: نموذج رقم (6) - الإدارة العامة للشكاوى والبلاغات والتحري</t>
  </si>
  <si>
    <t>ملاحظة: خانة 'مؤسسات' لم تحمل قيمًا رقمية مستقلة في النموذج الأصلي لهذا الجدول تحديدًا (بخلاف جدول رقم 1)؛ أُبقيت '0' تحرزًا.</t>
  </si>
  <si>
    <t>📊 يوضح الرسم البياني أعلاه: 32. توزيع الشكاوى والبلاغات الواردة حسب جنس المشتكى عليه — مقارنة الأرقام عبر الأعوام المتاحة في الجدول المقابل.</t>
  </si>
  <si>
    <t>33. توزيع الشكاوى والبلاغات الواردة حسب الدرجة الوظيفية للمشتكى عليه</t>
  </si>
  <si>
    <t>مصدر البيانات: نموذج رقم (7) - الإدارة العامة للشكاوى والبلاغات والتحري</t>
  </si>
  <si>
    <t>الدرجة الوظيفية</t>
  </si>
  <si>
    <t>فئة خاصة</t>
  </si>
  <si>
    <t>فئة عليا</t>
  </si>
  <si>
    <t>فئة أولى</t>
  </si>
  <si>
    <t>أعضاء السلطة القضائية والنيابة العامة</t>
  </si>
  <si>
    <t>رؤساء وأعضاء الهيئات المحلية والجمعيات والنقابات</t>
  </si>
  <si>
    <t>السلك الدبلوماسي والسفارات</t>
  </si>
  <si>
    <t>منتسبو الأجهزة الأمنية</t>
  </si>
  <si>
    <t>غير محدد</t>
  </si>
  <si>
    <t>فئات أخرى</t>
  </si>
  <si>
    <t>ملاحظة: صف 'المجموع' ورد فارغًا في النموذج الأصلي ولم يُحتسب تفاديًا لأي جمع غير موثّق.</t>
  </si>
  <si>
    <t>📊 يوضح الرسم البياني أعلاه: 33. توزيع الشكاوى والبلاغات الواردة حسب الدرجة الوظيفية للمشتكى عليه — مقارنة الأرقام عبر الأعوام المتاحة في الجدول المقابل.</t>
  </si>
  <si>
    <r>
      <rPr>
        <b/>
        <sz val="12"/>
        <rFont val="Cambria"/>
        <charset val="1"/>
      </rPr>
      <t xml:space="preserve">34. </t>
    </r>
    <r>
      <rPr>
        <b/>
        <sz val="12"/>
        <rFont val="FreeSans"/>
        <family val="2"/>
      </rPr>
      <t xml:space="preserve">ملخص القضايا والمشتبه بهم لدى نيابة جرائم الفساد </t>
    </r>
    <r>
      <rPr>
        <b/>
        <sz val="12"/>
        <rFont val="Cambria"/>
        <charset val="1"/>
      </rPr>
      <t>(</t>
    </r>
    <r>
      <rPr>
        <b/>
        <sz val="12"/>
        <rFont val="FreeSans"/>
        <family val="2"/>
      </rPr>
      <t xml:space="preserve">نموذج رقم </t>
    </r>
    <r>
      <rPr>
        <b/>
        <sz val="12"/>
        <rFont val="Cambria"/>
        <charset val="1"/>
      </rPr>
      <t>1)</t>
    </r>
  </si>
  <si>
    <t>بيانات من نموذج إحصائي رسمي إضافي صادر عن نيابة جرائم الفساد - مصدر مختلف عن شيت 6 (الإدارة العامة للتحقيق بالهيئة)</t>
  </si>
  <si>
    <t>القضايا الواردة - من هيئة مكافحة الفساد</t>
  </si>
  <si>
    <t>القضايا الواردة - من النائب العام</t>
  </si>
  <si>
    <t>القضايا الواردة - المجموع</t>
  </si>
  <si>
    <t>المشتبه بهم المحالون للنيابة - ذكور</t>
  </si>
  <si>
    <t>المشتبه بهم المحالون للنيابة - إناث</t>
  </si>
  <si>
    <t>القضايا المنجزة - إحالة لمحكمة جرائم الفساد</t>
  </si>
  <si>
    <t>القضايا المنجزة - حفظ</t>
  </si>
  <si>
    <t>القضايا المنجزة - إحالة لجهات أخرى (عدم اختصاص)</t>
  </si>
  <si>
    <t>ملاحظة: هذا المؤشر مصدره نيابة جرائم الفساد مباشرة (نموذج رقم 1)، وهو مستقل عن شيت "6-الواردة لنيابة جرائم الفساد" الذي مصدره الإدارة العامة للتحقيق بالهيئة. الأرقام هنا مختلفة عن شيت 6 (مثال: القضايا الواردة من النائب العام هنا = 29/17/12/13 مقابل 61/33/38/38 في شيت 6)، لذا أُبقي كل مؤشر في شيته الخاص لتفادي الخلط بين المصدرين.</t>
  </si>
  <si>
    <t>📊 يوضح الرسم البياني أعلاه: 34. ملخص القضايا والمشتبه بهم لدى نيابة جرائم الفساد (نموذج رقم 1) — مقارنة الأرقام عبر الأعوام المتاحة في الجدول المقابل.</t>
  </si>
  <si>
    <r>
      <rPr>
        <b/>
        <sz val="12"/>
        <rFont val="Cambria"/>
        <charset val="1"/>
      </rPr>
      <t xml:space="preserve">35. </t>
    </r>
    <r>
      <rPr>
        <b/>
        <sz val="12"/>
        <rFont val="FreeSans"/>
        <family val="2"/>
      </rPr>
      <t xml:space="preserve">القضايا المحالة إلى محكمة جرائم الفساد حسب نوع الجرم </t>
    </r>
    <r>
      <rPr>
        <b/>
        <sz val="12"/>
        <rFont val="Cambria"/>
        <charset val="1"/>
      </rPr>
      <t>(</t>
    </r>
    <r>
      <rPr>
        <b/>
        <sz val="12"/>
        <rFont val="FreeSans"/>
        <family val="2"/>
      </rPr>
      <t xml:space="preserve">نموذج رقم </t>
    </r>
    <r>
      <rPr>
        <b/>
        <sz val="12"/>
        <rFont val="Cambria"/>
        <charset val="1"/>
      </rPr>
      <t>4)</t>
    </r>
  </si>
  <si>
    <t>يفصل هذا الجدول أنواع جرائم الفساد المشتبه بها في القضايا التي وصلت فعليًا للمحكمة - مصدر مستقل عن شيت 3 (الملفات المحالة للنائب العام)</t>
  </si>
  <si>
    <t>التكييف القانوني (الجرم)</t>
  </si>
  <si>
    <t>عدم اختصاص (للغير/القطاع الخاص)</t>
  </si>
  <si>
    <t>📊 يوضح الرسم البياني أعلاه: 35. القضايا المحالة إلى محكمة جرائم الفساد حسب نوع الجرم (نموذج رقم 4) — مقارنة الأرقام عبر الأعوام المتاحة في الجدول المقابل.</t>
  </si>
  <si>
    <t>ملاحظة: بعض الأرقام في المصدر الأصلي (مثل التزوير في 2022) كانت عبارة عن مجموع قيم فرعية متعددة (7+26+41)، وتم رصد المجموع النهائي فقط لتسهيل التحليل. هذا الجدول يمثل مستوى "القضايا الواصلة فعليًا للمحكمة" وهو مختلف عن شيت "3-المحالة حسب القطاع والجرم" الذي يمثل مستوى "الملفات المحالة للنائب العام" (أرقام الجدولين غير متطابقة لاختلاف المرحلة الإجرائية).</t>
  </si>
  <si>
    <r>
      <rPr>
        <b/>
        <sz val="12"/>
        <rFont val="Cambria"/>
        <charset val="1"/>
      </rPr>
      <t xml:space="preserve">36. </t>
    </r>
    <r>
      <rPr>
        <b/>
        <sz val="12"/>
        <rFont val="FreeSans"/>
        <family val="2"/>
      </rPr>
      <t xml:space="preserve">القضايا المسجلة حسب القطاع </t>
    </r>
    <r>
      <rPr>
        <b/>
        <sz val="12"/>
        <rFont val="Cambria"/>
        <charset val="1"/>
      </rPr>
      <t>(</t>
    </r>
    <r>
      <rPr>
        <b/>
        <sz val="12"/>
        <rFont val="FreeSans"/>
        <family val="2"/>
      </rPr>
      <t xml:space="preserve">نموذج رقم </t>
    </r>
    <r>
      <rPr>
        <b/>
        <sz val="12"/>
        <rFont val="Cambria"/>
        <charset val="1"/>
      </rPr>
      <t>3)</t>
    </r>
  </si>
  <si>
    <t>يوضح توزيع قضايا الفساد على القطاعات المختلفة في الدولة - مصدر مستقل عن شيت 20 (الملفات الواردة حسب القطاع)</t>
  </si>
  <si>
    <t>قطاع عام</t>
  </si>
  <si>
    <t>مؤسسات تقوم بخدمة عامة</t>
  </si>
  <si>
    <t>شركات تساهم عامة فيها الدولة</t>
  </si>
  <si>
    <t>ملاحظة: هذا الجدول لا يتضمن بيانات عام 2022 في المصدر الأصلي (النموذج المرفق بدأ من 2023). هذا المؤشر مستقل عن شيت "20-الواردة حسب القطاع" (الذي مصدره الملفات الواردة للإدارة العامة للتحقيق) وعن شيت "3-المحالة حسب القطاع والجرم" (الذي مصدره الملفات المحالة للنائب العام)؛ الأرقام هنا غير متطابقة معهما لأنها تمثل مستوى إجرائي مختلف (تسجيل القضايا وليس ورودها أو إحالتها).</t>
  </si>
  <si>
    <t>📊 يوضح الرسم البياني أعلاه: 36. القضايا المسجلة حسب القطاع (نموذج رقم 3) — مقارنة الأرقام عبر الأعوام المتاحة في الجدول المقابل.</t>
  </si>
  <si>
    <t>11ب. عدد الجهات المكلفة بتقديم إقرارات الذمة المالية</t>
  </si>
  <si>
    <t>عدد الجهات (المؤسسات/الدوائر) التي تم تكليفها رسمياً بتعبئة إقرارات الذمة المالية لموظفيها خلال العام</t>
  </si>
  <si>
    <t>عدد الجهات المكلفة</t>
  </si>
  <si>
    <t>ملاحظة: هذا مؤشر جديد يختلف عن "عدد المكلفين" (الأفراد) الوارد في المؤشر 11، والذي لا يزال غير متوفر.</t>
  </si>
  <si>
    <t>عدد الجهات المكلفة (رقمي)</t>
  </si>
  <si>
    <t>📊 يوضح الرسم البياني أعلاه: 11ب. عدد الجهات المكلفة بتقديم إقرارات الذمة المالية — مقارنة الأرقام عبر الأعوام المتاحة في الجدول المقابل.</t>
  </si>
  <si>
    <t>12ب. عدد الإقرارات الدورية (تجديد كل 5 سنوات)</t>
  </si>
  <si>
    <t>إقرارات الذمة المالية المقدمة كتجديد دوري إلزامي كل خمس سنوات، من ضمن إجمالي الإقرارات المستلمة</t>
  </si>
  <si>
    <t>عدد الإقرارات الدورية</t>
  </si>
  <si>
    <t>مؤشر جديد لم يكن مدرجاً ضمن القائمة الأصلية.</t>
  </si>
  <si>
    <t>📊 يوضح الرسم البياني أعلاه: 12ب. عدد الإقرارات الدورية (تجديد كل 5 سنوات) — مقارنة الأرقام عبر الأعوام المتاحة في الجدول المقابل.</t>
  </si>
  <si>
    <t>12ج. المجموع التراكمي لإقرارات الذمة المالية المستلمة منذ عام 2012</t>
  </si>
  <si>
    <t>إجمالي عدد الإقرارات المستلمة تراكمياً منذ بدء العمل بالنظام عام 2012 وحتى نهاية كل عام</t>
  </si>
  <si>
    <t>المجموع التراكمي (منذ 2012)</t>
  </si>
  <si>
    <t>صافي الزيادة السنوية</t>
  </si>
  <si>
    <t>مؤشر جديد يوضح النمو التراكمي للإقرارات على مدى الزمن. الفارق السنوي = صافي الإقرارات الجديدة المضافة لكل عام.</t>
  </si>
  <si>
    <t>📊 يوضح الرسم البياني أعلاه: 12ج. المجموع التراكمي لإقرارات الذمة المالية المستلمة منذ عام 2012 — مقارنة الأرقام عبر الأعوام المتاحة في الجدول المقابل.</t>
  </si>
  <si>
    <t>12د. التوزيع النسبي التراكمي للإقرارات حسب فئة المكلفين (2012-2024)</t>
  </si>
  <si>
    <t>وفقاً للتقرير الصادر في 2024، توزيع الإقرارات المستلمة تاريخياً على فئات المكلفين</t>
  </si>
  <si>
    <t>الفئة</t>
  </si>
  <si>
    <t>عدد الإقرارات التراكمي</t>
  </si>
  <si>
    <t>الموظفون المدنيون</t>
  </si>
  <si>
    <t>منتسبو الأجهزة الأمنية والعسكرية</t>
  </si>
  <si>
    <t>الهيئات المحلية</t>
  </si>
  <si>
    <t>الإجمالي (أربع فئات فقط)</t>
  </si>
  <si>
    <t>فئات أخرى/غير محددة (الفارق)</t>
  </si>
  <si>
    <t>ملاحظة: القاسم المستخدم هو المجموع التراكمي الفعلي حتى 2024 (72,329) كما ورد في التقرير، وليس مجموع الفئات الأربع فقط (68,688)، لتطابق النسب المذكورة في المصدر (48.3%، 28.7%، 14.2%، 3.8%). الفارق (~5.1%) يمثل فئات أخرى لم يتم تفصيلها في المصدر.</t>
  </si>
  <si>
    <t>📊 يوضح الرسم البياني أعلاه: 12د. التوزيع النسبي التراكمي للإقرارات حسب فئة المكلفين (2012-2024) — مقارنة الأرقام عبر الأعوام المتاحة في الجدول المقابل.</t>
  </si>
  <si>
    <t>42. ضبط وإعادة الأموال العامة (بالشيكل)</t>
  </si>
  <si>
    <t>مبالغ مالية تم ضبطها أو استعادتها من جهات خاضعة لقانون مكافحة الفساد أثناء أعمال التحري - مصدر: التقارير السنوية</t>
  </si>
  <si>
    <t>المبالغ المودعة في حساب أمانات الهيئة (شيكل)</t>
  </si>
  <si>
    <t>المبالغ المعادة إلى الخزينة العامة (شيكل)</t>
  </si>
  <si>
    <t>المبالغ المعادة إلى جهات الصرف (شيكل)</t>
  </si>
  <si>
    <t>إجمالي المبالغ المضبوطة/المعادة (شيكل)</t>
  </si>
  <si>
    <t>مؤشر جديد: هذا القسم ("ضبط وإعادة أموال عامة") لم يكن مدرجاً سابقاً في الملف رغم وجوده صراحة في التقريرين السنويين 2022 (ص36) و2023 (ص41). لم يرد هذا القسم إطلاقاً في تقريري 2024 و2025 المرفقين.</t>
  </si>
  <si>
    <t>43. تقارير التدقيق والتحليل المالي والإداري</t>
  </si>
  <si>
    <t>عدد التقارير التدقيقية المعدة من الهيئة والشكاوى/البلاغات المرتبطة بها - مصدر: التقارير السنوية</t>
  </si>
  <si>
    <t>عدد التقارير التدقيقية</t>
  </si>
  <si>
    <t>عدد الشكاوى والبلاغات المرتبطة</t>
  </si>
  <si>
    <t>مؤشر جديد لم يكن مدرجاً سابقاً في الملف، رغم توفره في التقارير السنوية الأربعة كافة (2022 ص36، 2023 ص40، 2024 ص54، 2025 ص49-50).</t>
  </si>
  <si>
    <t>44. جهود دائرة الرصد (تفصيل مصادر الرصد)</t>
  </si>
  <si>
    <t>عدد الأخبار المرصودة على مواقع التواصل الاجتماعي والإنترنت</t>
  </si>
  <si>
    <t>عدد تقارير الرصد من مصادر مفتوحة</t>
  </si>
  <si>
    <t>عدد تقارير الرصد عبر الربط البيني مع المؤسسات العامة</t>
  </si>
  <si>
    <t>عدد الشكاوى/البلاغات المعتمدة من نتائج الرصد</t>
  </si>
  <si>
    <t>مؤشر جديد. التفصيل الكامل (أخبار/مصادر مفتوحة/ربط بيني) متوفر فقط في تقريري 2024 (ص55) و2025 (ص50). في تقريري 2022 (ص36) و2023 (ص41) ورد فقط عدد الشكاوى المعتمدة من نتائج الرصد (14 و2 على التوالي) دون تفصيل المصادر.</t>
  </si>
  <si>
    <t>45. بيانات استثنائية خاصة بقطاع غزة (عام 2024 فقط)</t>
  </si>
  <si>
    <t>شكاوى وردت من/عن قطاع غزة نتيجة ظروف الحرب - وردت حصراً في التقرير السنوي 2024 (ص52-53) ولا يوجد ما يقابلها في باقي الأعوام</t>
  </si>
  <si>
    <t>شكاوى ضمن اختصاص الهيئة القانوني من المحافظات الجنوبية (غزة)</t>
  </si>
  <si>
    <t>شكاوى وردت عبر التطبيقات الإلكترونية من أهالي غزة خارج نطاق اختصاص الهيئة (استغلال المواطنين من قبل تجار وسماسرة)</t>
  </si>
  <si>
    <t>مؤشر جديد جوهري لم يكن مدرجاً في الملف. الشكاوى الـ82 ضمن اختصاص الهيئة تم تأجيل متابعتها بسبب الانقسام وعدم قدرة الهيئة على العمل ميدانياً في قطاع غزة. الشكاوى الـ1,070 (خارج الاختصاص) تتعلق بخمس قضايا رئيسية: (1) استغلال محال الصرافة بعمولات مرتفعة 20%-45%، (2) ارتفاع رسوم السفر غير الرسمية من 350$ إلى 5,000-10,000$، (3) رفع أسعار السلع بشكل مبالغ فيه، (4) تفاوت أسعار السلع بين الدفع النقدي والإلكتروني، (5) حرمان مواطنين من المساعدات لغياب معايير واضحة للتوزيع.</t>
  </si>
  <si>
    <t>46. مؤشرات إضافية متفرقة (بيانات جزئية غير منتظمة عبر الأعوام)</t>
  </si>
  <si>
    <t>مؤشرات وردت بشكل متقطع في تقرير سنوي واحد فقط دون ما يقابلها في باقي الأعوام</t>
  </si>
  <si>
    <t>عدد تقارير الخبرة الفنية (المالية) الصادرة بموجب قرارات رفع السرية المصرفية</t>
  </si>
  <si>
    <t>عدد إقرارات الذمة المالية الجديدة المكلَّف الأشخاص المشتبه بهم بتقديمها</t>
  </si>
  <si>
    <t>غير محدد رقمياً</t>
  </si>
  <si>
    <t>نعم (تكليف واحد مذكور)</t>
  </si>
  <si>
    <t>مؤشر 5 (تقارير الخبرة الفنية 2025 = 22 تقريراً) ورد فقط في تقرير 2025 (ص50). الصف الثاني إشارة نوعية من شيت "24-إجراءات الضبط القضائي" الموجود مسبقاً في الملف، أُضيف هنا للتوثيق فقط.</t>
  </si>
  <si>
    <t>غير 2177</t>
  </si>
  <si>
    <t>تفصيل الأخبار والتقارير المرصودة عبر مواقع التواصل الاجتماعي والمصادر المفتوحة والربط البيني - 0 كتفصيل إلا في تقريري 2024 و2025</t>
  </si>
  <si>
    <t>متوفر جزئيا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</si>
</sst>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family val="2"/>
      <charset val="1"/>
    </font>
    <font>
      <b/>
      <sz val="14"/>
      <color rgb="FF1F4E78"/>
      <name val="Arial"/>
      <charset val="1"/>
    </font>
    <font>
      <i/>
      <sz val="10"/>
      <color rgb="FF808080"/>
      <name val="Arial"/>
      <charset val="1"/>
    </font>
    <font>
      <b/>
      <sz val="12"/>
      <color rgb="FFFFFFFF"/>
      <name val="Arial"/>
      <charset val="1"/>
    </font>
    <font>
      <sz val="11"/>
      <name val="Arial"/>
      <charset val="1"/>
    </font>
    <font>
      <u/>
      <sz val="11"/>
      <color rgb="FF0563C1"/>
      <name val="FreeSans"/>
      <family val="2"/>
      <charset val="1"/>
    </font>
    <font>
      <i/>
      <sz val="11"/>
      <color rgb="FFC00000"/>
      <name val="Arial"/>
      <charset val="1"/>
    </font>
    <font>
      <b/>
      <sz val="11"/>
      <color rgb="FF006100"/>
      <name val="Arial"/>
      <charset val="1"/>
    </font>
    <font>
      <b/>
      <sz val="11"/>
      <color rgb="FF9C6500"/>
      <name val="Arial"/>
      <charset val="1"/>
    </font>
    <font>
      <b/>
      <sz val="11"/>
      <color rgb="FFFFFFFF"/>
      <name val="Arial"/>
      <charset val="1"/>
    </font>
    <font>
      <b/>
      <sz val="11"/>
      <color rgb="FF1F4E78"/>
      <name val="Arial"/>
      <charset val="1"/>
    </font>
    <font>
      <sz val="11"/>
      <color theme="1"/>
      <name val="FreeSans"/>
      <family val="2"/>
      <charset val="1"/>
    </font>
    <font>
      <sz val="10"/>
      <name val="Arial"/>
      <charset val="1"/>
    </font>
    <font>
      <sz val="11"/>
      <color rgb="FF0000FF"/>
      <name val="Arial"/>
      <charset val="1"/>
    </font>
    <font>
      <b/>
      <sz val="12"/>
      <color rgb="FF1F4E78"/>
      <name val="Arial"/>
      <charset val="1"/>
    </font>
    <font>
      <b/>
      <sz val="12"/>
      <color rgb="FFC00000"/>
      <name val="Arial"/>
      <charset val="1"/>
    </font>
    <font>
      <i/>
      <sz val="10"/>
      <name val="Arial"/>
      <charset val="1"/>
    </font>
    <font>
      <b/>
      <u/>
      <sz val="11"/>
      <color rgb="FF0563C1"/>
      <name val="Cambria"/>
      <charset val="1"/>
    </font>
    <font>
      <b/>
      <sz val="11"/>
      <name val="Arial"/>
      <charset val="1"/>
    </font>
    <font>
      <i/>
      <sz val="9"/>
      <color rgb="FF595959"/>
      <name val="Arial"/>
      <charset val="1"/>
    </font>
    <font>
      <i/>
      <sz val="10"/>
      <color rgb="FFC00000"/>
      <name val="Arial"/>
      <charset val="1"/>
    </font>
    <font>
      <i/>
      <sz val="11"/>
      <color rgb="FFC00000"/>
      <name val="Arial"/>
      <family val="2"/>
      <charset val="1"/>
    </font>
    <font>
      <b/>
      <sz val="11"/>
      <color rgb="FFC00000"/>
      <name val="Arial"/>
      <charset val="1"/>
    </font>
    <font>
      <i/>
      <sz val="10"/>
      <color rgb="FF000000"/>
      <name val="Arial"/>
      <charset val="1"/>
    </font>
    <font>
      <sz val="10"/>
      <name val="FreeSans"/>
      <family val="2"/>
    </font>
    <font>
      <sz val="10"/>
      <color rgb="FF808080"/>
      <name val="Arial"/>
      <charset val="1"/>
    </font>
    <font>
      <i/>
      <sz val="9"/>
      <color rgb="FF808080"/>
      <name val="Arial"/>
      <charset val="1"/>
    </font>
    <font>
      <b/>
      <sz val="14"/>
      <name val="Arial"/>
      <charset val="1"/>
    </font>
    <font>
      <sz val="10"/>
      <name val="Arial"/>
      <family val="2"/>
    </font>
    <font>
      <sz val="11"/>
      <color rgb="FF9C5700"/>
      <name val="FreeSans"/>
      <family val="2"/>
      <charset val="1"/>
    </font>
    <font>
      <sz val="11"/>
      <color rgb="FFFF0000"/>
      <name val="Arial"/>
      <family val="2"/>
      <charset val="1"/>
    </font>
    <font>
      <b/>
      <sz val="11"/>
      <name val="Calibri"/>
      <charset val="1"/>
    </font>
    <font>
      <b/>
      <sz val="12"/>
      <name val="Cambria"/>
      <charset val="1"/>
    </font>
    <font>
      <b/>
      <sz val="12"/>
      <name val="FreeSans"/>
      <family val="2"/>
    </font>
    <font>
      <b/>
      <sz val="11"/>
      <name val="FreeSans"/>
      <family val="2"/>
      <charset val="1"/>
    </font>
    <font>
      <b/>
      <sz val="11"/>
      <name val="Cambria"/>
      <charset val="1"/>
    </font>
    <font>
      <b/>
      <sz val="11"/>
      <color rgb="FF0563C1"/>
      <name val="FreeSans"/>
      <family val="2"/>
      <charset val="1"/>
    </font>
    <font>
      <b/>
      <sz val="11"/>
      <color rgb="FF0563C1"/>
      <name val="FreeSans"/>
      <family val="2"/>
    </font>
  </fonts>
  <fills count="7">
    <fill>
      <patternFill patternType="none"/>
    </fill>
    <fill>
      <patternFill patternType="gray125"/>
    </fill>
    <fill>
      <patternFill patternType="solid">
        <fgColor rgb="FF1F4E78"/>
        <bgColor rgb="FF40699B"/>
      </patternFill>
    </fill>
    <fill>
      <patternFill patternType="solid">
        <fgColor rgb="FF2E75B6"/>
        <bgColor rgb="FF4673A9"/>
      </patternFill>
    </fill>
    <fill>
      <patternFill patternType="solid">
        <fgColor rgb="FFD9E2F3"/>
        <bgColor rgb="FFD9D9D9"/>
      </patternFill>
    </fill>
    <fill>
      <patternFill patternType="solid">
        <fgColor rgb="FFFFF2CC"/>
        <bgColor rgb="FFFFEB9C"/>
      </patternFill>
    </fill>
    <fill>
      <patternFill patternType="solid">
        <fgColor rgb="FFFFEB9C"/>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7">
    <xf numFmtId="0" fontId="0" fillId="0" borderId="0" xfId="0"/>
    <xf numFmtId="0" fontId="2" fillId="0" borderId="0" xfId="0" applyFont="1" applyAlignment="1">
      <alignment horizontal="right" wrapText="1"/>
    </xf>
    <xf numFmtId="0" fontId="3" fillId="2"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right" wrapText="1"/>
    </xf>
    <xf numFmtId="0" fontId="6" fillId="0" borderId="1" xfId="0" applyFont="1" applyBorder="1" applyAlignment="1">
      <alignment horizontal="center" wrapText="1"/>
    </xf>
    <xf numFmtId="0" fontId="7" fillId="0" borderId="1" xfId="0" applyFont="1" applyBorder="1" applyAlignment="1">
      <alignment horizontal="center" wrapText="1"/>
    </xf>
    <xf numFmtId="0" fontId="8" fillId="0" borderId="1" xfId="0" applyFont="1" applyBorder="1" applyAlignment="1">
      <alignment horizontal="center" wrapText="1"/>
    </xf>
    <xf numFmtId="0" fontId="4" fillId="0" borderId="1" xfId="0" applyFont="1" applyBorder="1" applyAlignment="1">
      <alignment horizontal="right"/>
    </xf>
    <xf numFmtId="0" fontId="10" fillId="0" borderId="1" xfId="0" applyFont="1" applyBorder="1" applyAlignment="1">
      <alignment horizontal="center" wrapText="1"/>
    </xf>
    <xf numFmtId="0" fontId="5" fillId="0" borderId="0" xfId="0" applyFont="1"/>
    <xf numFmtId="0" fontId="11" fillId="0" borderId="0" xfId="0" applyFont="1"/>
    <xf numFmtId="0" fontId="4" fillId="0" borderId="0" xfId="0" applyFont="1" applyAlignment="1">
      <alignment horizontal="center" vertical="center" wrapText="1"/>
    </xf>
    <xf numFmtId="0" fontId="5" fillId="0" borderId="0" xfId="0" applyFont="1" applyAlignment="1">
      <alignment horizontal="right" vertical="center" wrapText="1"/>
    </xf>
    <xf numFmtId="0" fontId="4" fillId="0" borderId="0" xfId="0" applyFont="1" applyAlignment="1">
      <alignment horizontal="right" vertical="center" wrapText="1"/>
    </xf>
    <xf numFmtId="0" fontId="4" fillId="0" borderId="0" xfId="0" applyFont="1" applyAlignment="1">
      <alignment horizontal="center"/>
    </xf>
    <xf numFmtId="0" fontId="13" fillId="0" borderId="0" xfId="0" applyFont="1" applyAlignment="1">
      <alignment horizontal="right"/>
    </xf>
    <xf numFmtId="0" fontId="4" fillId="0" borderId="0" xfId="0" applyFont="1" applyAlignment="1">
      <alignment horizontal="right"/>
    </xf>
    <xf numFmtId="0" fontId="14" fillId="0" borderId="0" xfId="0" applyFont="1"/>
    <xf numFmtId="0" fontId="4" fillId="0" borderId="0" xfId="0" applyFont="1"/>
    <xf numFmtId="0" fontId="15" fillId="0" borderId="0" xfId="0" applyFont="1"/>
    <xf numFmtId="0" fontId="17" fillId="0" borderId="0" xfId="0" applyFont="1"/>
    <xf numFmtId="0" fontId="18" fillId="0" borderId="1" xfId="0" applyFont="1" applyBorder="1" applyAlignment="1">
      <alignment horizontal="right"/>
    </xf>
    <xf numFmtId="0" fontId="6" fillId="0" borderId="1" xfId="0" applyFont="1" applyBorder="1" applyAlignment="1">
      <alignment horizontal="center"/>
    </xf>
    <xf numFmtId="0" fontId="18" fillId="0" borderId="0" xfId="0" applyFont="1"/>
    <xf numFmtId="0" fontId="21" fillId="0" borderId="1" xfId="0" applyFont="1" applyBorder="1" applyAlignment="1">
      <alignment horizontal="center"/>
    </xf>
    <xf numFmtId="0" fontId="18" fillId="4" borderId="0" xfId="0" applyFont="1" applyFill="1"/>
    <xf numFmtId="0" fontId="18" fillId="4" borderId="1" xfId="0" applyFont="1" applyFill="1" applyBorder="1" applyAlignment="1">
      <alignment horizontal="center"/>
    </xf>
    <xf numFmtId="0" fontId="4" fillId="0" borderId="1" xfId="0" applyFont="1" applyBorder="1" applyAlignment="1">
      <alignment horizontal="right" wrapText="1"/>
    </xf>
    <xf numFmtId="0" fontId="22" fillId="5" borderId="1" xfId="0" applyFont="1" applyFill="1" applyBorder="1" applyAlignment="1">
      <alignment horizontal="center"/>
    </xf>
    <xf numFmtId="0" fontId="22" fillId="5" borderId="0" xfId="0" applyFont="1" applyFill="1"/>
    <xf numFmtId="0" fontId="0" fillId="0" borderId="0" xfId="0" applyAlignment="1">
      <alignment readingOrder="2"/>
    </xf>
    <xf numFmtId="0" fontId="26" fillId="0" borderId="0" xfId="0" applyFont="1" applyAlignment="1">
      <alignment horizontal="right" wrapText="1"/>
    </xf>
    <xf numFmtId="0" fontId="18" fillId="0" borderId="0" xfId="0" applyFont="1" applyAlignment="1">
      <alignment horizontal="right"/>
    </xf>
    <xf numFmtId="164" fontId="4" fillId="0" borderId="0" xfId="0" applyNumberFormat="1" applyFont="1" applyAlignment="1">
      <alignment horizontal="center"/>
    </xf>
    <xf numFmtId="0" fontId="3" fillId="2" borderId="0" xfId="0" applyFont="1" applyFill="1"/>
    <xf numFmtId="0" fontId="3" fillId="2" borderId="0" xfId="0" applyFont="1" applyFill="1" applyAlignment="1">
      <alignment horizontal="center"/>
    </xf>
    <xf numFmtId="0" fontId="26" fillId="0" borderId="0" xfId="0" applyFont="1" applyAlignment="1">
      <alignment horizontal="right"/>
    </xf>
    <xf numFmtId="0" fontId="3" fillId="2" borderId="0" xfId="0" applyFont="1" applyFill="1" applyAlignment="1">
      <alignment horizontal="center" vertical="center" wrapText="1"/>
    </xf>
    <xf numFmtId="0" fontId="22" fillId="5" borderId="0" xfId="0" applyFont="1" applyFill="1" applyAlignment="1">
      <alignment horizontal="center" vertical="center" wrapText="1"/>
    </xf>
    <xf numFmtId="0" fontId="18" fillId="0" borderId="0" xfId="0" applyFont="1" applyAlignment="1">
      <alignment horizontal="right" vertical="center" wrapText="1"/>
    </xf>
    <xf numFmtId="0" fontId="18" fillId="0" borderId="0" xfId="0" applyFont="1" applyAlignment="1">
      <alignment horizontal="center" vertical="center" wrapText="1"/>
    </xf>
    <xf numFmtId="0" fontId="29" fillId="6" borderId="0" xfId="0" applyFont="1" applyFill="1" applyAlignment="1">
      <alignment horizontal="center" vertical="center" wrapText="1"/>
    </xf>
    <xf numFmtId="0" fontId="26" fillId="0" borderId="0" xfId="0" applyFont="1"/>
    <xf numFmtId="0" fontId="18" fillId="0" borderId="0" xfId="0" applyFont="1" applyAlignment="1">
      <alignment vertical="center" wrapText="1"/>
    </xf>
    <xf numFmtId="0" fontId="0" fillId="0" borderId="0" xfId="0" applyAlignment="1">
      <alignment horizontal="center" vertical="center"/>
    </xf>
    <xf numFmtId="0" fontId="18" fillId="4" borderId="1" xfId="0" applyFont="1" applyFill="1" applyBorder="1"/>
    <xf numFmtId="0" fontId="13" fillId="0" borderId="1" xfId="0" applyFont="1" applyBorder="1" applyAlignment="1">
      <alignment horizontal="center"/>
    </xf>
    <xf numFmtId="164" fontId="4" fillId="0" borderId="1" xfId="0" applyNumberFormat="1" applyFont="1" applyBorder="1" applyAlignment="1">
      <alignment horizontal="center"/>
    </xf>
    <xf numFmtId="0" fontId="30" fillId="0" borderId="1" xfId="0" applyFont="1" applyBorder="1" applyAlignment="1">
      <alignment horizontal="center"/>
    </xf>
    <xf numFmtId="0" fontId="17" fillId="0" borderId="0" xfId="0" applyFont="1" applyAlignment="1">
      <alignment horizontal="center"/>
    </xf>
    <xf numFmtId="0" fontId="0" fillId="0" borderId="0" xfId="0" applyAlignment="1">
      <alignment horizontal="center"/>
    </xf>
    <xf numFmtId="0" fontId="11" fillId="0" borderId="0" xfId="0" applyFont="1" applyAlignment="1">
      <alignment horizontal="right"/>
    </xf>
    <xf numFmtId="0" fontId="31" fillId="0" borderId="0" xfId="0" applyFont="1" applyAlignment="1">
      <alignment horizontal="center"/>
    </xf>
    <xf numFmtId="0" fontId="32" fillId="0" borderId="0" xfId="0" applyFont="1"/>
    <xf numFmtId="0" fontId="34" fillId="0" borderId="0" xfId="0" applyFont="1"/>
    <xf numFmtId="0" fontId="35" fillId="0" borderId="0" xfId="0" applyFont="1"/>
    <xf numFmtId="0" fontId="36" fillId="0" borderId="0" xfId="0" applyFont="1"/>
    <xf numFmtId="0" fontId="18" fillId="0" borderId="0" xfId="0" applyFont="1" applyAlignment="1">
      <alignment horizontal="center"/>
    </xf>
    <xf numFmtId="164" fontId="18" fillId="0" borderId="0" xfId="0" applyNumberFormat="1" applyFont="1" applyAlignment="1">
      <alignment horizontal="center"/>
    </xf>
    <xf numFmtId="0" fontId="1" fillId="0" borderId="0" xfId="0" applyFont="1"/>
    <xf numFmtId="0" fontId="37" fillId="0" borderId="0" xfId="0" applyFont="1"/>
    <xf numFmtId="0" fontId="25" fillId="0" borderId="0" xfId="0" applyFont="1"/>
    <xf numFmtId="0" fontId="6" fillId="0" borderId="0" xfId="0" applyFont="1" applyAlignment="1">
      <alignment horizontal="right" wrapText="1"/>
    </xf>
    <xf numFmtId="0" fontId="1" fillId="0" borderId="0" xfId="0" applyFont="1" applyAlignment="1">
      <alignment horizontal="right" readingOrder="2"/>
    </xf>
    <xf numFmtId="0" fontId="2" fillId="0" borderId="0" xfId="0" applyFont="1" applyAlignment="1">
      <alignment horizontal="right" wrapText="1"/>
    </xf>
    <xf numFmtId="0" fontId="19" fillId="0" borderId="0" xfId="0" applyFont="1" applyAlignment="1">
      <alignment horizontal="right" wrapText="1"/>
    </xf>
    <xf numFmtId="0" fontId="16" fillId="0" borderId="0" xfId="0" applyFont="1"/>
    <xf numFmtId="0" fontId="1" fillId="0" borderId="0" xfId="0" applyFont="1" applyAlignment="1">
      <alignment horizontal="right"/>
    </xf>
    <xf numFmtId="0" fontId="9" fillId="3" borderId="1" xfId="0" applyFont="1" applyFill="1" applyBorder="1" applyAlignment="1">
      <alignment horizontal="right" vertical="center"/>
    </xf>
    <xf numFmtId="0" fontId="12" fillId="0" borderId="0" xfId="0" applyFont="1" applyAlignment="1">
      <alignment horizontal="right" vertical="center" wrapText="1"/>
    </xf>
    <xf numFmtId="0" fontId="20" fillId="0" borderId="0" xfId="0" applyFont="1" applyAlignment="1">
      <alignment horizontal="right" wrapText="1"/>
    </xf>
    <xf numFmtId="0" fontId="23" fillId="0" borderId="0" xfId="0" applyFont="1" applyAlignment="1">
      <alignment horizontal="right" vertical="top" wrapText="1"/>
    </xf>
    <xf numFmtId="0" fontId="25" fillId="0" borderId="0" xfId="0" applyFont="1" applyAlignment="1">
      <alignment horizontal="right"/>
    </xf>
    <xf numFmtId="0" fontId="26" fillId="0" borderId="0" xfId="0" applyFont="1" applyAlignment="1">
      <alignment horizontal="right" wrapText="1"/>
    </xf>
    <xf numFmtId="0" fontId="0" fillId="0" borderId="0" xfId="0"/>
    <xf numFmtId="0" fontId="26" fillId="0" borderId="0" xfId="0" applyFont="1" applyAlignment="1">
      <alignment horizontal="right"/>
    </xf>
    <xf numFmtId="0" fontId="3" fillId="2" borderId="0" xfId="0" applyFont="1" applyFill="1"/>
    <xf numFmtId="0" fontId="27" fillId="0" borderId="0" xfId="0" applyFont="1" applyAlignment="1">
      <alignment horizontal="right" vertical="center" wrapText="1"/>
    </xf>
    <xf numFmtId="0" fontId="18" fillId="0" borderId="0" xfId="0" applyFont="1" applyAlignment="1">
      <alignment horizontal="right" vertical="center" wrapText="1"/>
    </xf>
    <xf numFmtId="0" fontId="4" fillId="0" borderId="0" xfId="0" applyFont="1" applyAlignment="1">
      <alignment horizontal="center" vertical="center" wrapText="1"/>
    </xf>
    <xf numFmtId="0" fontId="2" fillId="0" borderId="0" xfId="0" applyFont="1" applyAlignment="1">
      <alignment horizontal="right" vertical="center" wrapText="1"/>
    </xf>
    <xf numFmtId="0" fontId="1" fillId="0" borderId="0" xfId="0" applyFont="1" applyAlignment="1">
      <alignment horizontal="right" vertical="center" readingOrder="2"/>
    </xf>
    <xf numFmtId="0" fontId="2" fillId="0" borderId="0" xfId="0" applyFont="1" applyAlignment="1">
      <alignment horizontal="center" wrapText="1"/>
    </xf>
    <xf numFmtId="0" fontId="27" fillId="0" borderId="0" xfId="0" applyFont="1" applyAlignment="1">
      <alignment horizontal="right" vertical="center" wrapText="1" readingOrder="2"/>
    </xf>
    <xf numFmtId="0" fontId="4" fillId="0" borderId="1" xfId="0" applyFont="1" applyBorder="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8BA74F"/>
      <rgbColor rgb="FF0000FF"/>
      <rgbColor rgb="FFB8CD97"/>
      <rgbColor rgb="FFCA7E7D"/>
      <rgbColor rgb="FFAABAD7"/>
      <rgbColor rgb="FFC00000"/>
      <rgbColor rgb="FF006100"/>
      <rgbColor rgb="FFD09493"/>
      <rgbColor rgb="FF9C6500"/>
      <rgbColor rgb="FFB34A48"/>
      <rgbColor rgb="FF40699B"/>
      <rgbColor rgb="FFBFBFBF"/>
      <rgbColor rgb="FF808080"/>
      <rgbColor rgb="FF91A8CE"/>
      <rgbColor rgb="FF9E413E"/>
      <rgbColor rgb="FFFFF2CC"/>
      <rgbColor rgb="FFD9E2F3"/>
      <rgbColor rgb="FF8064A2"/>
      <rgbColor rgb="FFE78C41"/>
      <rgbColor rgb="FF0563C1"/>
      <rgbColor rgb="FFD9D9D9"/>
      <rgbColor rgb="FFB3B3B3"/>
      <rgbColor rgb="FFCC7C3A"/>
      <rgbColor rgb="FFADC683"/>
      <rgbColor rgb="FFB5C3DB"/>
      <rgbColor rgb="FFC0504D"/>
      <rgbColor rgb="FFC27637"/>
      <rgbColor rgb="FF4673A9"/>
      <rgbColor rgb="FFC2BACF"/>
      <rgbColor rgb="FF429AB1"/>
      <rgbColor rgb="FFC5D6AC"/>
      <rgbColor rgb="FFCCDAB7"/>
      <rgbColor rgb="FFFFEB9C"/>
      <rgbColor rgb="FF87C0D3"/>
      <rgbColor rgb="FFD8AAA9"/>
      <rgbColor rgb="FFB9AFC9"/>
      <rgbColor rgb="FFDDB5B5"/>
      <rgbColor rgb="FF2E75B6"/>
      <rgbColor rgb="FF4BACC6"/>
      <rgbColor rgb="FF9BBB59"/>
      <rgbColor rgb="FFF8AA7A"/>
      <rgbColor rgb="FFF79646"/>
      <rgbColor rgb="FFDC853E"/>
      <rgbColor rgb="FF735991"/>
      <rgbColor rgb="FFA495B9"/>
      <rgbColor rgb="FF4F81BD"/>
      <rgbColor rgb="FF3D8DA3"/>
      <rgbColor rgb="FF7F9A49"/>
      <rgbColor rgb="FF695185"/>
      <rgbColor rgb="FF9C5700"/>
      <rgbColor rgb="FFAB4744"/>
      <rgbColor rgb="FF1F4E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 عدد التشريعات-البنود المُقرّة أو المعدّلة المعزِّزة للوقاية من الفساد</a:t>
            </a:r>
          </a:p>
        </c:rich>
      </c:tx>
      <c:overlay val="0"/>
      <c:spPr>
        <a:noFill/>
        <a:ln w="0">
          <a:noFill/>
        </a:ln>
      </c:spPr>
    </c:title>
    <c:autoTitleDeleted val="0"/>
    <c:plotArea>
      <c:layout/>
      <c:lineChart>
        <c:grouping val="standard"/>
        <c:varyColors val="0"/>
        <c:ser>
          <c:idx val="0"/>
          <c:order val="0"/>
          <c:tx>
            <c:strRef>
              <c:f>'1-التشريعات'!$A$5</c:f>
              <c:strCache>
                <c:ptCount val="1"/>
                <c:pt idx="0">
                  <c:v>عدد التشريعات/البنود</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'1-التشريعات'!$B$4:$E$4</c:f>
              <c:strCache>
                <c:ptCount val="4"/>
                <c:pt idx="0">
                  <c:v>2022</c:v>
                </c:pt>
                <c:pt idx="1">
                  <c:v>2023</c:v>
                </c:pt>
                <c:pt idx="2">
                  <c:v>2024</c:v>
                </c:pt>
                <c:pt idx="3">
                  <c:v>2025</c:v>
                </c:pt>
              </c:strCache>
            </c:strRef>
          </c:cat>
          <c:val>
            <c:numRef>
              <c:f>'1-التشريعات'!$B$5:$E$5</c:f>
              <c:numCache>
                <c:formatCode>General</c:formatCode>
                <c:ptCount val="4"/>
                <c:pt idx="0">
                  <c:v>1</c:v>
                </c:pt>
                <c:pt idx="1">
                  <c:v>1</c:v>
                </c:pt>
                <c:pt idx="2">
                  <c:v>0</c:v>
                </c:pt>
                <c:pt idx="3">
                  <c:v>0</c:v>
                </c:pt>
              </c:numCache>
            </c:numRef>
          </c:val>
          <c:smooth val="1"/>
          <c:extLst>
            <c:ext xmlns:c16="http://schemas.microsoft.com/office/drawing/2014/chart" uri="{C3380CC4-5D6E-409C-BE32-E72D297353CC}">
              <c16:uniqueId val="{00000000-F0D6-46A8-A2D1-56A4B265B8CE}"/>
            </c:ext>
          </c:extLst>
        </c:ser>
        <c:dLbls>
          <c:showLegendKey val="0"/>
          <c:showVal val="0"/>
          <c:showCatName val="0"/>
          <c:showSerName val="0"/>
          <c:showPercent val="0"/>
          <c:showBubbleSize val="0"/>
        </c:dLbls>
        <c:hiLowLines>
          <c:spPr>
            <a:ln w="0">
              <a:noFill/>
            </a:ln>
          </c:spPr>
        </c:hiLowLines>
        <c:smooth val="0"/>
        <c:axId val="55669985"/>
        <c:axId val="3659346"/>
      </c:lineChart>
      <c:catAx>
        <c:axId val="5566998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59346"/>
        <c:crosses val="autoZero"/>
        <c:auto val="1"/>
        <c:lblAlgn val="ctr"/>
        <c:lblOffset val="100"/>
        <c:noMultiLvlLbl val="0"/>
      </c:catAx>
      <c:valAx>
        <c:axId val="3659346"/>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66998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أ) الملفات المحالة حسب القطاع/الجهة</a:t>
            </a:r>
          </a:p>
        </c:rich>
      </c:tx>
      <c:overlay val="0"/>
      <c:spPr>
        <a:noFill/>
        <a:ln w="0">
          <a:noFill/>
        </a:ln>
      </c:spPr>
    </c:title>
    <c:autoTitleDeleted val="0"/>
    <c:plotArea>
      <c:layout/>
      <c:barChart>
        <c:barDir val="col"/>
        <c:grouping val="clustered"/>
        <c:varyColors val="0"/>
        <c:ser>
          <c:idx val="0"/>
          <c:order val="0"/>
          <c:tx>
            <c:strRef>
              <c:f>'3-المحالة حسب القطاع والجرم'!$A$6</c:f>
              <c:strCache>
                <c:ptCount val="1"/>
                <c:pt idx="0">
                  <c:v>قطاع عام/وزارات ومؤسسات وزارية</c:v>
                </c:pt>
              </c:strCache>
            </c:strRef>
          </c:tx>
          <c:spPr>
            <a:solidFill>
              <a:srgbClr val="416A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والجرم'!$B$6:$E$6</c:f>
              <c:numCache>
                <c:formatCode>General</c:formatCode>
                <c:ptCount val="4"/>
                <c:pt idx="0">
                  <c:v>28</c:v>
                </c:pt>
                <c:pt idx="1">
                  <c:v>10</c:v>
                </c:pt>
                <c:pt idx="2">
                  <c:v>13</c:v>
                </c:pt>
                <c:pt idx="3">
                  <c:v>21</c:v>
                </c:pt>
              </c:numCache>
            </c:numRef>
          </c:val>
          <c:extLst>
            <c:ext xmlns:c16="http://schemas.microsoft.com/office/drawing/2014/chart" uri="{C3380CC4-5D6E-409C-BE32-E72D297353CC}">
              <c16:uniqueId val="{00000000-B08E-41D7-B15E-E352AF766A51}"/>
            </c:ext>
          </c:extLst>
        </c:ser>
        <c:ser>
          <c:idx val="1"/>
          <c:order val="1"/>
          <c:tx>
            <c:strRef>
              <c:f>'3-المحالة حسب القطاع والجرم'!$A$7</c:f>
              <c:strCache>
                <c:ptCount val="1"/>
                <c:pt idx="0">
                  <c:v>هيئات محلية</c:v>
                </c:pt>
              </c:strCache>
            </c:strRef>
          </c:tx>
          <c:spPr>
            <a:solidFill>
              <a:srgbClr val="9F423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والجرم'!$B$7:$E$7</c:f>
              <c:numCache>
                <c:formatCode>General</c:formatCode>
                <c:ptCount val="4"/>
                <c:pt idx="0">
                  <c:v>19</c:v>
                </c:pt>
                <c:pt idx="1">
                  <c:v>17</c:v>
                </c:pt>
                <c:pt idx="2">
                  <c:v>20</c:v>
                </c:pt>
                <c:pt idx="3">
                  <c:v>9</c:v>
                </c:pt>
              </c:numCache>
            </c:numRef>
          </c:val>
          <c:extLst>
            <c:ext xmlns:c16="http://schemas.microsoft.com/office/drawing/2014/chart" uri="{C3380CC4-5D6E-409C-BE32-E72D297353CC}">
              <c16:uniqueId val="{00000001-B08E-41D7-B15E-E352AF766A51}"/>
            </c:ext>
          </c:extLst>
        </c:ser>
        <c:ser>
          <c:idx val="2"/>
          <c:order val="2"/>
          <c:tx>
            <c:strRef>
              <c:f>'3-المحالة حسب القطاع والجرم'!$A$8</c:f>
              <c:strCache>
                <c:ptCount val="1"/>
                <c:pt idx="0">
                  <c:v>جمعيات</c:v>
                </c:pt>
              </c:strCache>
            </c:strRef>
          </c:tx>
          <c:spPr>
            <a:solidFill>
              <a:srgbClr val="809B4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والجرم'!$B$8:$E$8</c:f>
              <c:numCache>
                <c:formatCode>General</c:formatCode>
                <c:ptCount val="4"/>
                <c:pt idx="0">
                  <c:v>8</c:v>
                </c:pt>
                <c:pt idx="1">
                  <c:v>3</c:v>
                </c:pt>
                <c:pt idx="2">
                  <c:v>1</c:v>
                </c:pt>
                <c:pt idx="3">
                  <c:v>4</c:v>
                </c:pt>
              </c:numCache>
            </c:numRef>
          </c:val>
          <c:extLst>
            <c:ext xmlns:c16="http://schemas.microsoft.com/office/drawing/2014/chart" uri="{C3380CC4-5D6E-409C-BE32-E72D297353CC}">
              <c16:uniqueId val="{00000002-B08E-41D7-B15E-E352AF766A51}"/>
            </c:ext>
          </c:extLst>
        </c:ser>
        <c:ser>
          <c:idx val="3"/>
          <c:order val="3"/>
          <c:tx>
            <c:strRef>
              <c:f>'3-المحالة حسب القطاع والجرم'!$A$9</c:f>
              <c:strCache>
                <c:ptCount val="1"/>
                <c:pt idx="0">
                  <c:v>اتحادات ونقابات</c:v>
                </c:pt>
              </c:strCache>
            </c:strRef>
          </c:tx>
          <c:spPr>
            <a:solidFill>
              <a:srgbClr val="6A528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والجرم'!$B$9:$E$9</c:f>
              <c:numCache>
                <c:formatCode>General</c:formatCode>
                <c:ptCount val="4"/>
                <c:pt idx="0">
                  <c:v>2</c:v>
                </c:pt>
                <c:pt idx="1">
                  <c:v>1</c:v>
                </c:pt>
                <c:pt idx="2">
                  <c:v>0</c:v>
                </c:pt>
                <c:pt idx="3">
                  <c:v>2</c:v>
                </c:pt>
              </c:numCache>
            </c:numRef>
          </c:val>
          <c:extLst>
            <c:ext xmlns:c16="http://schemas.microsoft.com/office/drawing/2014/chart" uri="{C3380CC4-5D6E-409C-BE32-E72D297353CC}">
              <c16:uniqueId val="{00000003-B08E-41D7-B15E-E352AF766A51}"/>
            </c:ext>
          </c:extLst>
        </c:ser>
        <c:ser>
          <c:idx val="4"/>
          <c:order val="4"/>
          <c:tx>
            <c:strRef>
              <c:f>'3-المحالة حسب القطاع والجرم'!$A$10</c:f>
              <c:strCache>
                <c:ptCount val="1"/>
                <c:pt idx="0">
                  <c:v>شركة/شركات مساهمة عامة</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والجرم'!$B$10:$E$10</c:f>
              <c:numCache>
                <c:formatCode>General</c:formatCode>
                <c:ptCount val="4"/>
                <c:pt idx="0">
                  <c:v>1</c:v>
                </c:pt>
                <c:pt idx="1">
                  <c:v>0</c:v>
                </c:pt>
                <c:pt idx="2">
                  <c:v>0</c:v>
                </c:pt>
                <c:pt idx="3">
                  <c:v>2</c:v>
                </c:pt>
              </c:numCache>
            </c:numRef>
          </c:val>
          <c:extLst>
            <c:ext xmlns:c16="http://schemas.microsoft.com/office/drawing/2014/chart" uri="{C3380CC4-5D6E-409C-BE32-E72D297353CC}">
              <c16:uniqueId val="{00000004-B08E-41D7-B15E-E352AF766A51}"/>
            </c:ext>
          </c:extLst>
        </c:ser>
        <c:ser>
          <c:idx val="5"/>
          <c:order val="5"/>
          <c:tx>
            <c:strRef>
              <c:f>'3-المحالة حسب القطاع والجرم'!$A$11</c:f>
              <c:strCache>
                <c:ptCount val="1"/>
                <c:pt idx="0">
                  <c:v>خبراء – مخمن عقاري</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والجرم'!$B$11:$E$11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5-B08E-41D7-B15E-E352AF766A51}"/>
            </c:ext>
          </c:extLst>
        </c:ser>
        <c:ser>
          <c:idx val="6"/>
          <c:order val="6"/>
          <c:tx>
            <c:strRef>
              <c:f>'3-المحالة حسب القطاع والجرم'!$A$12</c:f>
              <c:strCache>
                <c:ptCount val="1"/>
                <c:pt idx="0">
                  <c:v>لجان</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والجرم'!$B$12:$E$12</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6-B08E-41D7-B15E-E352AF766A51}"/>
            </c:ext>
          </c:extLst>
        </c:ser>
        <c:ser>
          <c:idx val="7"/>
          <c:order val="7"/>
          <c:tx>
            <c:strRef>
              <c:f>'3-المحالة حسب القطاع والجرم'!$A$13</c:f>
              <c:strCache>
                <c:ptCount val="1"/>
                <c:pt idx="0">
                  <c:v>مؤسسة عامة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والجرم'!$B$13:$E$13</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7-B08E-41D7-B15E-E352AF766A51}"/>
            </c:ext>
          </c:extLst>
        </c:ser>
        <c:ser>
          <c:idx val="8"/>
          <c:order val="8"/>
          <c:tx>
            <c:strRef>
              <c:f>'3-المحالة حسب القطاع والجرم'!$A$14</c:f>
              <c:strCache>
                <c:ptCount val="1"/>
                <c:pt idx="0">
                  <c:v>مكلف بخدمة عامة</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والجرم'!$B$14:$E$14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8-B08E-41D7-B15E-E352AF766A51}"/>
            </c:ext>
          </c:extLst>
        </c:ser>
        <c:ser>
          <c:idx val="9"/>
          <c:order val="9"/>
          <c:tx>
            <c:strRef>
              <c:f>'3-المحالة حسب القطاع والجرم'!$A$15</c:f>
              <c:strCache>
                <c:ptCount val="1"/>
                <c:pt idx="0">
                  <c:v>جمعيات خيرية</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والجرم'!$B$15:$E$15</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9-B08E-41D7-B15E-E352AF766A51}"/>
            </c:ext>
          </c:extLst>
        </c:ser>
        <c:ser>
          <c:idx val="10"/>
          <c:order val="10"/>
          <c:tx>
            <c:strRef>
              <c:f>'3-المحالة حسب القطاع والجرم'!$A$16</c:f>
              <c:strCache>
                <c:ptCount val="1"/>
                <c:pt idx="0">
                  <c:v>حارس قضائي</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والجرم'!$B$16:$E$16</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A-B08E-41D7-B15E-E352AF766A51}"/>
            </c:ext>
          </c:extLst>
        </c:ser>
        <c:ser>
          <c:idx val="11"/>
          <c:order val="11"/>
          <c:tx>
            <c:strRef>
              <c:f>'3-المحالة حسب القطاع والجرم'!$A$17</c:f>
              <c:strCache>
                <c:ptCount val="1"/>
                <c:pt idx="0">
                  <c:v>أندية</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والجرم'!$B$17:$E$17</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B-B08E-41D7-B15E-E352AF766A51}"/>
            </c:ext>
          </c:extLst>
        </c:ser>
        <c:ser>
          <c:idx val="12"/>
          <c:order val="12"/>
          <c:tx>
            <c:strRef>
              <c:f>'3-المحالة حسب القطاع والجرم'!$A$18</c:f>
              <c:strCache>
                <c:ptCount val="1"/>
                <c:pt idx="0">
                  <c:v>مؤسسات منظمة التحرير</c:v>
                </c:pt>
              </c:strCache>
            </c:strRef>
          </c:tx>
          <c:spPr>
            <a:solidFill>
              <a:srgbClr val="AABAD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والجرم'!$B$5:$E$5</c:f>
              <c:strCache>
                <c:ptCount val="4"/>
                <c:pt idx="0">
                  <c:v>2022</c:v>
                </c:pt>
                <c:pt idx="1">
                  <c:v>2023</c:v>
                </c:pt>
                <c:pt idx="2">
                  <c:v>2024</c:v>
                </c:pt>
                <c:pt idx="3">
                  <c:v>2025</c:v>
                </c:pt>
              </c:strCache>
            </c:strRef>
          </c:cat>
          <c:val>
            <c:numRef>
              <c:f>'3-المحالة حسب القطاع والجرم'!$B$18:$E$18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C-B08E-41D7-B15E-E352AF766A51}"/>
            </c:ext>
          </c:extLst>
        </c:ser>
        <c:dLbls>
          <c:showLegendKey val="0"/>
          <c:showVal val="0"/>
          <c:showCatName val="0"/>
          <c:showSerName val="0"/>
          <c:showPercent val="0"/>
          <c:showBubbleSize val="0"/>
        </c:dLbls>
        <c:gapWidth val="150"/>
        <c:axId val="489788"/>
        <c:axId val="19426912"/>
      </c:barChart>
      <c:catAx>
        <c:axId val="4897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9426912"/>
        <c:crosses val="autoZero"/>
        <c:auto val="1"/>
        <c:lblAlgn val="ctr"/>
        <c:lblOffset val="100"/>
        <c:noMultiLvlLbl val="0"/>
      </c:catAx>
      <c:valAx>
        <c:axId val="19426912"/>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97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ب) الملفات المحالة حسب نوع الجرم</a:t>
            </a:r>
          </a:p>
        </c:rich>
      </c:tx>
      <c:overlay val="0"/>
      <c:spPr>
        <a:noFill/>
        <a:ln w="0">
          <a:noFill/>
        </a:ln>
      </c:spPr>
    </c:title>
    <c:autoTitleDeleted val="0"/>
    <c:plotArea>
      <c:layout/>
      <c:barChart>
        <c:barDir val="col"/>
        <c:grouping val="clustered"/>
        <c:varyColors val="0"/>
        <c:ser>
          <c:idx val="0"/>
          <c:order val="0"/>
          <c:tx>
            <c:strRef>
              <c:f>'3-المحالة حسب القطاع والجرم'!$A$24</c:f>
              <c:strCache>
                <c:ptCount val="1"/>
                <c:pt idx="0">
                  <c:v>اساءة استعمال السلطة</c:v>
                </c:pt>
              </c:strCache>
            </c:strRef>
          </c:tx>
          <c:spPr>
            <a:solidFill>
              <a:srgbClr val="416A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والجرم'!$B$24:$E$24</c:f>
              <c:numCache>
                <c:formatCode>General</c:formatCode>
                <c:ptCount val="4"/>
                <c:pt idx="0">
                  <c:v>21</c:v>
                </c:pt>
                <c:pt idx="1">
                  <c:v>8</c:v>
                </c:pt>
                <c:pt idx="2">
                  <c:v>16</c:v>
                </c:pt>
                <c:pt idx="3">
                  <c:v>6</c:v>
                </c:pt>
              </c:numCache>
            </c:numRef>
          </c:val>
          <c:extLst>
            <c:ext xmlns:c16="http://schemas.microsoft.com/office/drawing/2014/chart" uri="{C3380CC4-5D6E-409C-BE32-E72D297353CC}">
              <c16:uniqueId val="{00000000-0392-400C-9BD4-AA395973EDAA}"/>
            </c:ext>
          </c:extLst>
        </c:ser>
        <c:ser>
          <c:idx val="1"/>
          <c:order val="1"/>
          <c:tx>
            <c:strRef>
              <c:f>'3-المحالة حسب القطاع والجرم'!$A$25</c:f>
              <c:strCache>
                <c:ptCount val="1"/>
                <c:pt idx="0">
                  <c:v>التزوير/إعطاء مصدقات كاذبة/استعمال سند مزور</c:v>
                </c:pt>
              </c:strCache>
            </c:strRef>
          </c:tx>
          <c:spPr>
            <a:solidFill>
              <a:srgbClr val="9F423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والجرم'!$B$25:$E$25</c:f>
              <c:numCache>
                <c:formatCode>General</c:formatCode>
                <c:ptCount val="4"/>
                <c:pt idx="0">
                  <c:v>30</c:v>
                </c:pt>
                <c:pt idx="1">
                  <c:v>17</c:v>
                </c:pt>
                <c:pt idx="2">
                  <c:v>18</c:v>
                </c:pt>
                <c:pt idx="3">
                  <c:v>21</c:v>
                </c:pt>
              </c:numCache>
            </c:numRef>
          </c:val>
          <c:extLst>
            <c:ext xmlns:c16="http://schemas.microsoft.com/office/drawing/2014/chart" uri="{C3380CC4-5D6E-409C-BE32-E72D297353CC}">
              <c16:uniqueId val="{00000001-0392-400C-9BD4-AA395973EDAA}"/>
            </c:ext>
          </c:extLst>
        </c:ser>
        <c:ser>
          <c:idx val="2"/>
          <c:order val="2"/>
          <c:tx>
            <c:strRef>
              <c:f>'3-المحالة حسب القطاع والجرم'!$A$26</c:f>
              <c:strCache>
                <c:ptCount val="1"/>
                <c:pt idx="0">
                  <c:v>إساءة الائتمان</c:v>
                </c:pt>
              </c:strCache>
            </c:strRef>
          </c:tx>
          <c:spPr>
            <a:solidFill>
              <a:srgbClr val="809B4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والجرم'!$B$26:$E$26</c:f>
              <c:numCache>
                <c:formatCode>General</c:formatCode>
                <c:ptCount val="4"/>
                <c:pt idx="0">
                  <c:v>19</c:v>
                </c:pt>
                <c:pt idx="1">
                  <c:v>12</c:v>
                </c:pt>
                <c:pt idx="2">
                  <c:v>4</c:v>
                </c:pt>
                <c:pt idx="3">
                  <c:v>4</c:v>
                </c:pt>
              </c:numCache>
            </c:numRef>
          </c:val>
          <c:extLst>
            <c:ext xmlns:c16="http://schemas.microsoft.com/office/drawing/2014/chart" uri="{C3380CC4-5D6E-409C-BE32-E72D297353CC}">
              <c16:uniqueId val="{00000002-0392-400C-9BD4-AA395973EDAA}"/>
            </c:ext>
          </c:extLst>
        </c:ser>
        <c:ser>
          <c:idx val="3"/>
          <c:order val="3"/>
          <c:tx>
            <c:strRef>
              <c:f>'3-المحالة حسب القطاع والجرم'!$A$27</c:f>
              <c:strCache>
                <c:ptCount val="1"/>
                <c:pt idx="0">
                  <c:v>الاختلاس</c:v>
                </c:pt>
              </c:strCache>
            </c:strRef>
          </c:tx>
          <c:spPr>
            <a:solidFill>
              <a:srgbClr val="6A528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والجرم'!$B$27:$E$27</c:f>
              <c:numCache>
                <c:formatCode>General</c:formatCode>
                <c:ptCount val="4"/>
                <c:pt idx="0">
                  <c:v>6</c:v>
                </c:pt>
                <c:pt idx="1">
                  <c:v>0</c:v>
                </c:pt>
                <c:pt idx="2">
                  <c:v>6</c:v>
                </c:pt>
                <c:pt idx="3">
                  <c:v>4</c:v>
                </c:pt>
              </c:numCache>
            </c:numRef>
          </c:val>
          <c:extLst>
            <c:ext xmlns:c16="http://schemas.microsoft.com/office/drawing/2014/chart" uri="{C3380CC4-5D6E-409C-BE32-E72D297353CC}">
              <c16:uniqueId val="{00000003-0392-400C-9BD4-AA395973EDAA}"/>
            </c:ext>
          </c:extLst>
        </c:ser>
        <c:ser>
          <c:idx val="4"/>
          <c:order val="4"/>
          <c:tx>
            <c:strRef>
              <c:f>'3-المحالة حسب القطاع والجرم'!$A$28</c:f>
              <c:strCache>
                <c:ptCount val="1"/>
                <c:pt idx="0">
                  <c:v>التهاون في أداء الواجبات الوظيفية</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والجرم'!$B$28:$E$28</c:f>
              <c:numCache>
                <c:formatCode>General</c:formatCode>
                <c:ptCount val="4"/>
                <c:pt idx="0">
                  <c:v>9</c:v>
                </c:pt>
                <c:pt idx="1">
                  <c:v>3</c:v>
                </c:pt>
                <c:pt idx="2">
                  <c:v>10</c:v>
                </c:pt>
                <c:pt idx="3">
                  <c:v>10</c:v>
                </c:pt>
              </c:numCache>
            </c:numRef>
          </c:val>
          <c:extLst>
            <c:ext xmlns:c16="http://schemas.microsoft.com/office/drawing/2014/chart" uri="{C3380CC4-5D6E-409C-BE32-E72D297353CC}">
              <c16:uniqueId val="{00000004-0392-400C-9BD4-AA395973EDAA}"/>
            </c:ext>
          </c:extLst>
        </c:ser>
        <c:ser>
          <c:idx val="5"/>
          <c:order val="5"/>
          <c:tx>
            <c:strRef>
              <c:f>'3-المحالة حسب القطاع والجرم'!$A$29</c:f>
              <c:strCache>
                <c:ptCount val="1"/>
                <c:pt idx="0">
                  <c:v>غسل الأموال</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والجرم'!$B$29:$E$29</c:f>
              <c:numCache>
                <c:formatCode>General</c:formatCode>
                <c:ptCount val="4"/>
                <c:pt idx="0">
                  <c:v>1</c:v>
                </c:pt>
                <c:pt idx="1">
                  <c:v>1</c:v>
                </c:pt>
                <c:pt idx="2">
                  <c:v>1</c:v>
                </c:pt>
                <c:pt idx="3">
                  <c:v>2</c:v>
                </c:pt>
              </c:numCache>
            </c:numRef>
          </c:val>
          <c:extLst>
            <c:ext xmlns:c16="http://schemas.microsoft.com/office/drawing/2014/chart" uri="{C3380CC4-5D6E-409C-BE32-E72D297353CC}">
              <c16:uniqueId val="{00000005-0392-400C-9BD4-AA395973EDAA}"/>
            </c:ext>
          </c:extLst>
        </c:ser>
        <c:ser>
          <c:idx val="6"/>
          <c:order val="6"/>
          <c:tx>
            <c:strRef>
              <c:f>'3-المحالة حسب القطاع والجرم'!$A$30</c:f>
              <c:strCache>
                <c:ptCount val="1"/>
                <c:pt idx="0">
                  <c:v>الكسب غير المشروع</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والجرم'!$B$30:$E$30</c:f>
              <c:numCache>
                <c:formatCode>General</c:formatCode>
                <c:ptCount val="4"/>
                <c:pt idx="0">
                  <c:v>6</c:v>
                </c:pt>
                <c:pt idx="1">
                  <c:v>8</c:v>
                </c:pt>
                <c:pt idx="2">
                  <c:v>6</c:v>
                </c:pt>
                <c:pt idx="3">
                  <c:v>9</c:v>
                </c:pt>
              </c:numCache>
            </c:numRef>
          </c:val>
          <c:extLst>
            <c:ext xmlns:c16="http://schemas.microsoft.com/office/drawing/2014/chart" uri="{C3380CC4-5D6E-409C-BE32-E72D297353CC}">
              <c16:uniqueId val="{00000006-0392-400C-9BD4-AA395973EDAA}"/>
            </c:ext>
          </c:extLst>
        </c:ser>
        <c:ser>
          <c:idx val="7"/>
          <c:order val="7"/>
          <c:tx>
            <c:strRef>
              <c:f>'3-المحالة حسب القطاع والجرم'!$A$31</c:f>
              <c:strCache>
                <c:ptCount val="1"/>
                <c:pt idx="0">
                  <c:v>الاستثمار الوظيفي / الحصول على منفعة شخصية / الاتجار غير المشروع</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والجرم'!$B$31:$E$31</c:f>
              <c:numCache>
                <c:formatCode>General</c:formatCode>
                <c:ptCount val="4"/>
                <c:pt idx="0">
                  <c:v>2</c:v>
                </c:pt>
                <c:pt idx="1">
                  <c:v>4</c:v>
                </c:pt>
                <c:pt idx="2">
                  <c:v>2</c:v>
                </c:pt>
                <c:pt idx="3">
                  <c:v>9</c:v>
                </c:pt>
              </c:numCache>
            </c:numRef>
          </c:val>
          <c:extLst>
            <c:ext xmlns:c16="http://schemas.microsoft.com/office/drawing/2014/chart" uri="{C3380CC4-5D6E-409C-BE32-E72D297353CC}">
              <c16:uniqueId val="{00000007-0392-400C-9BD4-AA395973EDAA}"/>
            </c:ext>
          </c:extLst>
        </c:ser>
        <c:ser>
          <c:idx val="8"/>
          <c:order val="8"/>
          <c:tx>
            <c:strRef>
              <c:f>'3-المحالة حسب القطاع والجرم'!$A$32</c:f>
              <c:strCache>
                <c:ptCount val="1"/>
                <c:pt idx="0">
                  <c:v>الحصول على منفعة شخصية (منفصلاً)</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والجرم'!$B$32:$E$32</c:f>
              <c:numCache>
                <c:formatCode>General</c:formatCode>
                <c:ptCount val="4"/>
                <c:pt idx="0">
                  <c:v>1</c:v>
                </c:pt>
                <c:pt idx="1">
                  <c:v>3</c:v>
                </c:pt>
                <c:pt idx="2">
                  <c:v>3</c:v>
                </c:pt>
                <c:pt idx="3">
                  <c:v>0</c:v>
                </c:pt>
              </c:numCache>
            </c:numRef>
          </c:val>
          <c:extLst>
            <c:ext xmlns:c16="http://schemas.microsoft.com/office/drawing/2014/chart" uri="{C3380CC4-5D6E-409C-BE32-E72D297353CC}">
              <c16:uniqueId val="{00000008-0392-400C-9BD4-AA395973EDAA}"/>
            </c:ext>
          </c:extLst>
        </c:ser>
        <c:ser>
          <c:idx val="9"/>
          <c:order val="9"/>
          <c:tx>
            <c:strRef>
              <c:f>'3-المحالة حسب القطاع والجرم'!$A$33</c:f>
              <c:strCache>
                <c:ptCount val="1"/>
                <c:pt idx="0">
                  <c:v>إعاقة سير العدالة</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والجرم'!$B$33:$E$33</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09-0392-400C-9BD4-AA395973EDAA}"/>
            </c:ext>
          </c:extLst>
        </c:ser>
        <c:ser>
          <c:idx val="10"/>
          <c:order val="10"/>
          <c:tx>
            <c:strRef>
              <c:f>'3-المحالة حسب القطاع والجرم'!$A$34</c:f>
              <c:strCache>
                <c:ptCount val="1"/>
                <c:pt idx="0">
                  <c:v>الرشوة</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والجرم'!$B$34:$E$34</c:f>
              <c:numCache>
                <c:formatCode>General</c:formatCode>
                <c:ptCount val="4"/>
                <c:pt idx="0">
                  <c:v>2</c:v>
                </c:pt>
                <c:pt idx="1">
                  <c:v>3</c:v>
                </c:pt>
                <c:pt idx="2">
                  <c:v>1</c:v>
                </c:pt>
                <c:pt idx="3">
                  <c:v>4</c:v>
                </c:pt>
              </c:numCache>
            </c:numRef>
          </c:val>
          <c:extLst>
            <c:ext xmlns:c16="http://schemas.microsoft.com/office/drawing/2014/chart" uri="{C3380CC4-5D6E-409C-BE32-E72D297353CC}">
              <c16:uniqueId val="{0000000A-0392-400C-9BD4-AA395973EDAA}"/>
            </c:ext>
          </c:extLst>
        </c:ser>
        <c:ser>
          <c:idx val="11"/>
          <c:order val="11"/>
          <c:tx>
            <c:strRef>
              <c:f>'3-المحالة حسب القطاع والجرم'!$A$35</c:f>
              <c:strCache>
                <c:ptCount val="1"/>
                <c:pt idx="0">
                  <c:v>قبول الواسطة والمحسوبية والمحاباة</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والجرم'!$B$35:$E$35</c:f>
              <c:numCache>
                <c:formatCode>General</c:formatCode>
                <c:ptCount val="4"/>
                <c:pt idx="0">
                  <c:v>1</c:v>
                </c:pt>
                <c:pt idx="1">
                  <c:v>3</c:v>
                </c:pt>
                <c:pt idx="2">
                  <c:v>2</c:v>
                </c:pt>
                <c:pt idx="3">
                  <c:v>1</c:v>
                </c:pt>
              </c:numCache>
            </c:numRef>
          </c:val>
          <c:extLst>
            <c:ext xmlns:c16="http://schemas.microsoft.com/office/drawing/2014/chart" uri="{C3380CC4-5D6E-409C-BE32-E72D297353CC}">
              <c16:uniqueId val="{0000000B-0392-400C-9BD4-AA395973EDAA}"/>
            </c:ext>
          </c:extLst>
        </c:ser>
        <c:ser>
          <c:idx val="12"/>
          <c:order val="12"/>
          <c:tx>
            <c:strRef>
              <c:f>'3-المحالة حسب القطاع والجرم'!$A$36</c:f>
              <c:strCache>
                <c:ptCount val="1"/>
                <c:pt idx="0">
                  <c:v>عدم الإفصاح عن تضارب المصالح</c:v>
                </c:pt>
              </c:strCache>
            </c:strRef>
          </c:tx>
          <c:spPr>
            <a:solidFill>
              <a:srgbClr val="AABAD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والجرم'!$B$36:$E$36</c:f>
              <c:numCache>
                <c:formatCode>General</c:formatCode>
                <c:ptCount val="4"/>
                <c:pt idx="0">
                  <c:v>5</c:v>
                </c:pt>
                <c:pt idx="1">
                  <c:v>5</c:v>
                </c:pt>
                <c:pt idx="2">
                  <c:v>4</c:v>
                </c:pt>
                <c:pt idx="3">
                  <c:v>3</c:v>
                </c:pt>
              </c:numCache>
            </c:numRef>
          </c:val>
          <c:extLst>
            <c:ext xmlns:c16="http://schemas.microsoft.com/office/drawing/2014/chart" uri="{C3380CC4-5D6E-409C-BE32-E72D297353CC}">
              <c16:uniqueId val="{0000000C-0392-400C-9BD4-AA395973EDAA}"/>
            </c:ext>
          </c:extLst>
        </c:ser>
        <c:ser>
          <c:idx val="13"/>
          <c:order val="13"/>
          <c:tx>
            <c:strRef>
              <c:f>'3-المحالة حسب القطاع والجرم'!$A$37</c:f>
              <c:strCache>
                <c:ptCount val="1"/>
                <c:pt idx="0">
                  <c:v>المتاجرة بالنفوذ</c:v>
                </c:pt>
              </c:strCache>
            </c:strRef>
          </c:tx>
          <c:spPr>
            <a:solidFill>
              <a:srgbClr val="D8AAA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'3-المحالة حسب القطاع والجرم'!$B$23:$E$23</c:f>
              <c:strCache>
                <c:ptCount val="4"/>
                <c:pt idx="0">
                  <c:v>2022</c:v>
                </c:pt>
                <c:pt idx="1">
                  <c:v>2023</c:v>
                </c:pt>
                <c:pt idx="2">
                  <c:v>2024</c:v>
                </c:pt>
                <c:pt idx="3">
                  <c:v>2025</c:v>
                </c:pt>
              </c:strCache>
            </c:strRef>
          </c:cat>
          <c:val>
            <c:numRef>
              <c:f>'3-المحالة حسب القطاع والجرم'!$B$37:$E$37</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D-0392-400C-9BD4-AA395973EDAA}"/>
            </c:ext>
          </c:extLst>
        </c:ser>
        <c:dLbls>
          <c:showLegendKey val="0"/>
          <c:showVal val="0"/>
          <c:showCatName val="0"/>
          <c:showSerName val="0"/>
          <c:showPercent val="0"/>
          <c:showBubbleSize val="0"/>
        </c:dLbls>
        <c:gapWidth val="150"/>
        <c:axId val="29927902"/>
        <c:axId val="12770504"/>
      </c:barChart>
      <c:catAx>
        <c:axId val="2992790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770504"/>
        <c:crosses val="autoZero"/>
        <c:auto val="1"/>
        <c:lblAlgn val="ctr"/>
        <c:lblOffset val="100"/>
        <c:noMultiLvlLbl val="0"/>
      </c:catAx>
      <c:valAx>
        <c:axId val="1277050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92790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4. عدد الملفات التحقيقية لدى الهيئة (الملفات الواردة)</a:t>
            </a:r>
          </a:p>
        </c:rich>
      </c:tx>
      <c:overlay val="0"/>
      <c:spPr>
        <a:noFill/>
        <a:ln w="0">
          <a:noFill/>
        </a:ln>
      </c:spPr>
    </c:title>
    <c:autoTitleDeleted val="0"/>
    <c:plotArea>
      <c:layout/>
      <c:barChart>
        <c:barDir val="col"/>
        <c:grouping val="clustered"/>
        <c:varyColors val="0"/>
        <c:ser>
          <c:idx val="0"/>
          <c:order val="0"/>
          <c:tx>
            <c:strRef>
              <c:f>'4-الملفات التحقيقية الواردة'!$A$5</c:f>
              <c:strCache>
                <c:ptCount val="1"/>
                <c:pt idx="0">
                  <c:v>عدد الملفات الواردة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'4-الملفات التحقيقية الواردة'!$B$4:$E$4</c:f>
              <c:strCache>
                <c:ptCount val="4"/>
                <c:pt idx="0">
                  <c:v>2022</c:v>
                </c:pt>
                <c:pt idx="1">
                  <c:v>2023</c:v>
                </c:pt>
                <c:pt idx="2">
                  <c:v>2024</c:v>
                </c:pt>
                <c:pt idx="3">
                  <c:v>2025</c:v>
                </c:pt>
              </c:strCache>
            </c:strRef>
          </c:cat>
          <c:val>
            <c:numRef>
              <c:f>'4-الملفات التحقيقية الواردة'!$B$5:$E$5</c:f>
              <c:numCache>
                <c:formatCode>General</c:formatCode>
                <c:ptCount val="4"/>
                <c:pt idx="0">
                  <c:v>234</c:v>
                </c:pt>
                <c:pt idx="1">
                  <c:v>197</c:v>
                </c:pt>
                <c:pt idx="2">
                  <c:v>129</c:v>
                </c:pt>
                <c:pt idx="3">
                  <c:v>153</c:v>
                </c:pt>
              </c:numCache>
            </c:numRef>
          </c:val>
          <c:extLst>
            <c:ext xmlns:c16="http://schemas.microsoft.com/office/drawing/2014/chart" uri="{C3380CC4-5D6E-409C-BE32-E72D297353CC}">
              <c16:uniqueId val="{00000000-38BC-4258-A620-87718AE15665}"/>
            </c:ext>
          </c:extLst>
        </c:ser>
        <c:ser>
          <c:idx val="1"/>
          <c:order val="1"/>
          <c:tx>
            <c:strRef>
              <c:f>'4-الملفات التحقيقية الواردة'!$A$6</c:f>
              <c:strCache>
                <c:ptCount val="1"/>
                <c:pt idx="0">
                  <c:v>عدد الشكاوى والبلاغات (سجل أحوال) المرتبطة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'4-الملفات التحقيقية الواردة'!$B$4:$E$4</c:f>
              <c:strCache>
                <c:ptCount val="4"/>
                <c:pt idx="0">
                  <c:v>2022</c:v>
                </c:pt>
                <c:pt idx="1">
                  <c:v>2023</c:v>
                </c:pt>
                <c:pt idx="2">
                  <c:v>2024</c:v>
                </c:pt>
                <c:pt idx="3">
                  <c:v>2025</c:v>
                </c:pt>
              </c:strCache>
            </c:strRef>
          </c:cat>
          <c:val>
            <c:numRef>
              <c:f>'4-الملفات التحقيقية الواردة'!$B$6:$E$6</c:f>
              <c:numCache>
                <c:formatCode>General</c:formatCode>
                <c:ptCount val="4"/>
                <c:pt idx="0">
                  <c:v>325</c:v>
                </c:pt>
                <c:pt idx="1">
                  <c:v>244</c:v>
                </c:pt>
                <c:pt idx="2">
                  <c:v>151</c:v>
                </c:pt>
                <c:pt idx="3">
                  <c:v>194</c:v>
                </c:pt>
              </c:numCache>
            </c:numRef>
          </c:val>
          <c:extLst>
            <c:ext xmlns:c16="http://schemas.microsoft.com/office/drawing/2014/chart" uri="{C3380CC4-5D6E-409C-BE32-E72D297353CC}">
              <c16:uniqueId val="{00000001-38BC-4258-A620-87718AE15665}"/>
            </c:ext>
          </c:extLst>
        </c:ser>
        <c:ser>
          <c:idx val="2"/>
          <c:order val="2"/>
          <c:tx>
            <c:strRef>
              <c:f>'4-الملفات التحقيقية الواردة'!$A$7</c:f>
              <c:strCache>
                <c:ptCount val="1"/>
                <c:pt idx="0">
                  <c:v>منها: شكاوى وبلاغات جديدة</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'4-الملفات التحقيقية الواردة'!$B$4:$E$4</c:f>
              <c:strCache>
                <c:ptCount val="4"/>
                <c:pt idx="0">
                  <c:v>2022</c:v>
                </c:pt>
                <c:pt idx="1">
                  <c:v>2023</c:v>
                </c:pt>
                <c:pt idx="2">
                  <c:v>2024</c:v>
                </c:pt>
                <c:pt idx="3">
                  <c:v>2025</c:v>
                </c:pt>
              </c:strCache>
            </c:strRef>
          </c:cat>
          <c:val>
            <c:numRef>
              <c:f>'4-الملفات التحقيقية الواردة'!$B$7:$E$7</c:f>
              <c:numCache>
                <c:formatCode>General</c:formatCode>
                <c:ptCount val="4"/>
                <c:pt idx="0">
                  <c:v>299</c:v>
                </c:pt>
                <c:pt idx="1">
                  <c:v>239</c:v>
                </c:pt>
                <c:pt idx="2">
                  <c:v>0</c:v>
                </c:pt>
                <c:pt idx="3">
                  <c:v>0</c:v>
                </c:pt>
              </c:numCache>
            </c:numRef>
          </c:val>
          <c:extLst>
            <c:ext xmlns:c16="http://schemas.microsoft.com/office/drawing/2014/chart" uri="{C3380CC4-5D6E-409C-BE32-E72D297353CC}">
              <c16:uniqueId val="{00000002-38BC-4258-A620-87718AE15665}"/>
            </c:ext>
          </c:extLst>
        </c:ser>
        <c:ser>
          <c:idx val="3"/>
          <c:order val="3"/>
          <c:tx>
            <c:strRef>
              <c:f>'4-الملفات التحقيقية الواردة'!$A$8</c:f>
              <c:strCache>
                <c:ptCount val="1"/>
                <c:pt idx="0">
                  <c:v>منها: شكاوى وبلاغات ملحقة بملفات تحقيقية سابقة</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'4-الملفات التحقيقية الواردة'!$B$4:$E$4</c:f>
              <c:strCache>
                <c:ptCount val="4"/>
                <c:pt idx="0">
                  <c:v>2022</c:v>
                </c:pt>
                <c:pt idx="1">
                  <c:v>2023</c:v>
                </c:pt>
                <c:pt idx="2">
                  <c:v>2024</c:v>
                </c:pt>
                <c:pt idx="3">
                  <c:v>2025</c:v>
                </c:pt>
              </c:strCache>
            </c:strRef>
          </c:cat>
          <c:val>
            <c:numRef>
              <c:f>'4-الملفات التحقيقية الواردة'!$B$8:$E$8</c:f>
              <c:numCache>
                <c:formatCode>General</c:formatCode>
                <c:ptCount val="4"/>
                <c:pt idx="0">
                  <c:v>26</c:v>
                </c:pt>
                <c:pt idx="1">
                  <c:v>5</c:v>
                </c:pt>
                <c:pt idx="2">
                  <c:v>0</c:v>
                </c:pt>
                <c:pt idx="3">
                  <c:v>0</c:v>
                </c:pt>
              </c:numCache>
            </c:numRef>
          </c:val>
          <c:extLst>
            <c:ext xmlns:c16="http://schemas.microsoft.com/office/drawing/2014/chart" uri="{C3380CC4-5D6E-409C-BE32-E72D297353CC}">
              <c16:uniqueId val="{00000003-38BC-4258-A620-87718AE15665}"/>
            </c:ext>
          </c:extLst>
        </c:ser>
        <c:dLbls>
          <c:showLegendKey val="0"/>
          <c:showVal val="0"/>
          <c:showCatName val="0"/>
          <c:showSerName val="0"/>
          <c:showPercent val="0"/>
          <c:showBubbleSize val="0"/>
        </c:dLbls>
        <c:gapWidth val="150"/>
        <c:axId val="55115751"/>
        <c:axId val="16060483"/>
      </c:barChart>
      <c:catAx>
        <c:axId val="5511575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6060483"/>
        <c:crosses val="autoZero"/>
        <c:auto val="1"/>
        <c:lblAlgn val="ctr"/>
        <c:lblOffset val="100"/>
        <c:noMultiLvlLbl val="0"/>
      </c:catAx>
      <c:valAx>
        <c:axId val="16060483"/>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11575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5. عدد الملفات التحقيقية المنجزة لدى الهيئة</a:t>
            </a:r>
          </a:p>
        </c:rich>
      </c:tx>
      <c:overlay val="0"/>
      <c:spPr>
        <a:noFill/>
        <a:ln w="0">
          <a:noFill/>
        </a:ln>
      </c:spPr>
    </c:title>
    <c:autoTitleDeleted val="0"/>
    <c:plotArea>
      <c:layout/>
      <c:barChart>
        <c:barDir val="col"/>
        <c:grouping val="clustered"/>
        <c:varyColors val="0"/>
        <c:ser>
          <c:idx val="0"/>
          <c:order val="0"/>
          <c:tx>
            <c:strRef>
              <c:f>'5-الملفات المنجزة (عدد)'!$A$5</c:f>
              <c:strCache>
                <c:ptCount val="1"/>
                <c:pt idx="0">
                  <c:v>عدد ملفات التحقيق الأولي المنجزة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'5-الملفات المنجزة (عدد)'!$B$4:$E$4</c:f>
              <c:strCache>
                <c:ptCount val="4"/>
                <c:pt idx="0">
                  <c:v>2022</c:v>
                </c:pt>
                <c:pt idx="1">
                  <c:v>2023</c:v>
                </c:pt>
                <c:pt idx="2">
                  <c:v>2024</c:v>
                </c:pt>
                <c:pt idx="3">
                  <c:v>2025</c:v>
                </c:pt>
              </c:strCache>
            </c:strRef>
          </c:cat>
          <c:val>
            <c:numRef>
              <c:f>'5-الملفات المنجزة (عدد)'!$B$5:$E$5</c:f>
              <c:numCache>
                <c:formatCode>General</c:formatCode>
                <c:ptCount val="4"/>
                <c:pt idx="0">
                  <c:v>229</c:v>
                </c:pt>
                <c:pt idx="1">
                  <c:v>174</c:v>
                </c:pt>
                <c:pt idx="2">
                  <c:v>143</c:v>
                </c:pt>
                <c:pt idx="3">
                  <c:v>173</c:v>
                </c:pt>
              </c:numCache>
            </c:numRef>
          </c:val>
          <c:extLst>
            <c:ext xmlns:c16="http://schemas.microsoft.com/office/drawing/2014/chart" uri="{C3380CC4-5D6E-409C-BE32-E72D297353CC}">
              <c16:uniqueId val="{00000000-7304-4454-BF42-F0E8A883348F}"/>
            </c:ext>
          </c:extLst>
        </c:ser>
        <c:ser>
          <c:idx val="1"/>
          <c:order val="1"/>
          <c:tx>
            <c:strRef>
              <c:f>'5-الملفات المنجزة (عدد)'!$A$6</c:f>
              <c:strCache>
                <c:ptCount val="1"/>
                <c:pt idx="0">
                  <c:v>عدد القرارات الصادرة بشأنها</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'5-الملفات المنجزة (عدد)'!$B$4:$E$4</c:f>
              <c:strCache>
                <c:ptCount val="4"/>
                <c:pt idx="0">
                  <c:v>2022</c:v>
                </c:pt>
                <c:pt idx="1">
                  <c:v>2023</c:v>
                </c:pt>
                <c:pt idx="2">
                  <c:v>2024</c:v>
                </c:pt>
                <c:pt idx="3">
                  <c:v>2025</c:v>
                </c:pt>
              </c:strCache>
            </c:strRef>
          </c:cat>
          <c:val>
            <c:numRef>
              <c:f>'5-الملفات المنجزة (عدد)'!$B$6:$E$6</c:f>
              <c:numCache>
                <c:formatCode>General</c:formatCode>
                <c:ptCount val="4"/>
                <c:pt idx="0">
                  <c:v>219</c:v>
                </c:pt>
                <c:pt idx="1">
                  <c:v>171</c:v>
                </c:pt>
                <c:pt idx="2">
                  <c:v>137</c:v>
                </c:pt>
                <c:pt idx="3">
                  <c:v>168</c:v>
                </c:pt>
              </c:numCache>
            </c:numRef>
          </c:val>
          <c:extLst>
            <c:ext xmlns:c16="http://schemas.microsoft.com/office/drawing/2014/chart" uri="{C3380CC4-5D6E-409C-BE32-E72D297353CC}">
              <c16:uniqueId val="{00000001-7304-4454-BF42-F0E8A883348F}"/>
            </c:ext>
          </c:extLst>
        </c:ser>
        <c:ser>
          <c:idx val="2"/>
          <c:order val="2"/>
          <c:tx>
            <c:strRef>
              <c:f>'5-الملفات المنجزة (عدد)'!$A$7</c:f>
              <c:strCache>
                <c:ptCount val="1"/>
                <c:pt idx="0">
                  <c:v>عدد الشكاوى والبلاغات المغلقة بموجبها</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'5-الملفات المنجزة (عدد)'!$B$4:$E$4</c:f>
              <c:strCache>
                <c:ptCount val="4"/>
                <c:pt idx="0">
                  <c:v>2022</c:v>
                </c:pt>
                <c:pt idx="1">
                  <c:v>2023</c:v>
                </c:pt>
                <c:pt idx="2">
                  <c:v>2024</c:v>
                </c:pt>
                <c:pt idx="3">
                  <c:v>2025</c:v>
                </c:pt>
              </c:strCache>
            </c:strRef>
          </c:cat>
          <c:val>
            <c:numRef>
              <c:f>'5-الملفات المنجزة (عدد)'!$B$7:$E$7</c:f>
              <c:numCache>
                <c:formatCode>General</c:formatCode>
                <c:ptCount val="4"/>
                <c:pt idx="0">
                  <c:v>298</c:v>
                </c:pt>
                <c:pt idx="1">
                  <c:v>217</c:v>
                </c:pt>
                <c:pt idx="2">
                  <c:v>170</c:v>
                </c:pt>
                <c:pt idx="3">
                  <c:v>222</c:v>
                </c:pt>
              </c:numCache>
            </c:numRef>
          </c:val>
          <c:extLst>
            <c:ext xmlns:c16="http://schemas.microsoft.com/office/drawing/2014/chart" uri="{C3380CC4-5D6E-409C-BE32-E72D297353CC}">
              <c16:uniqueId val="{00000002-7304-4454-BF42-F0E8A883348F}"/>
            </c:ext>
          </c:extLst>
        </c:ser>
        <c:dLbls>
          <c:showLegendKey val="0"/>
          <c:showVal val="0"/>
          <c:showCatName val="0"/>
          <c:showSerName val="0"/>
          <c:showPercent val="0"/>
          <c:showBubbleSize val="0"/>
        </c:dLbls>
        <c:gapWidth val="150"/>
        <c:axId val="89726905"/>
        <c:axId val="96771684"/>
      </c:barChart>
      <c:catAx>
        <c:axId val="8972690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771684"/>
        <c:crosses val="autoZero"/>
        <c:auto val="1"/>
        <c:lblAlgn val="ctr"/>
        <c:lblOffset val="100"/>
        <c:noMultiLvlLbl val="0"/>
      </c:catAx>
      <c:valAx>
        <c:axId val="9677168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72690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6. عدد القضايا التحقيقية الواردة لنيابة جرائم الفساد</a:t>
            </a:r>
          </a:p>
        </c:rich>
      </c:tx>
      <c:overlay val="0"/>
      <c:spPr>
        <a:noFill/>
        <a:ln w="0">
          <a:noFill/>
        </a:ln>
      </c:spPr>
    </c:title>
    <c:autoTitleDeleted val="0"/>
    <c:plotArea>
      <c:layout/>
      <c:barChart>
        <c:barDir val="col"/>
        <c:grouping val="clustered"/>
        <c:varyColors val="0"/>
        <c:ser>
          <c:idx val="0"/>
          <c:order val="0"/>
          <c:tx>
            <c:strRef>
              <c:f>'6-الواردة لنيابة جرائم الفساد'!$A$5</c:f>
              <c:strCache>
                <c:ptCount val="1"/>
                <c:pt idx="0">
                  <c:v>عدد الملفات المحالة للنائب العام</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'6-الواردة لنيابة جرائم الفساد'!$B$4:$E$4</c:f>
              <c:strCache>
                <c:ptCount val="4"/>
                <c:pt idx="0">
                  <c:v>2022</c:v>
                </c:pt>
                <c:pt idx="1">
                  <c:v>2023</c:v>
                </c:pt>
                <c:pt idx="2">
                  <c:v>2024</c:v>
                </c:pt>
                <c:pt idx="3">
                  <c:v>2025</c:v>
                </c:pt>
              </c:strCache>
            </c:strRef>
          </c:cat>
          <c:val>
            <c:numRef>
              <c:f>'6-الواردة لنيابة جرائم الفساد'!$B$5:$E$5</c:f>
              <c:numCache>
                <c:formatCode>General</c:formatCode>
                <c:ptCount val="4"/>
                <c:pt idx="0">
                  <c:v>61</c:v>
                </c:pt>
                <c:pt idx="1">
                  <c:v>33</c:v>
                </c:pt>
                <c:pt idx="2">
                  <c:v>38</c:v>
                </c:pt>
                <c:pt idx="3">
                  <c:v>38</c:v>
                </c:pt>
              </c:numCache>
            </c:numRef>
          </c:val>
          <c:extLst>
            <c:ext xmlns:c16="http://schemas.microsoft.com/office/drawing/2014/chart" uri="{C3380CC4-5D6E-409C-BE32-E72D297353CC}">
              <c16:uniqueId val="{00000000-A80F-4792-88FA-A51C363442D2}"/>
            </c:ext>
          </c:extLst>
        </c:ser>
        <c:ser>
          <c:idx val="1"/>
          <c:order val="1"/>
          <c:tx>
            <c:strRef>
              <c:f>'6-الواردة لنيابة جرائم الفساد'!$A$6</c:f>
              <c:strCache>
                <c:ptCount val="1"/>
                <c:pt idx="0">
                  <c:v>عدد قرارات الإحالة الصادرة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'6-الواردة لنيابة جرائم الفساد'!$B$4:$E$4</c:f>
              <c:strCache>
                <c:ptCount val="4"/>
                <c:pt idx="0">
                  <c:v>2022</c:v>
                </c:pt>
                <c:pt idx="1">
                  <c:v>2023</c:v>
                </c:pt>
                <c:pt idx="2">
                  <c:v>2024</c:v>
                </c:pt>
                <c:pt idx="3">
                  <c:v>2025</c:v>
                </c:pt>
              </c:strCache>
            </c:strRef>
          </c:cat>
          <c:val>
            <c:numRef>
              <c:f>'6-الواردة لنيابة جرائم الفساد'!$B$6:$E$6</c:f>
              <c:numCache>
                <c:formatCode>General</c:formatCode>
                <c:ptCount val="4"/>
                <c:pt idx="0">
                  <c:v>58</c:v>
                </c:pt>
                <c:pt idx="1">
                  <c:v>32</c:v>
                </c:pt>
                <c:pt idx="2">
                  <c:v>32</c:v>
                </c:pt>
                <c:pt idx="3">
                  <c:v>38</c:v>
                </c:pt>
              </c:numCache>
            </c:numRef>
          </c:val>
          <c:extLst>
            <c:ext xmlns:c16="http://schemas.microsoft.com/office/drawing/2014/chart" uri="{C3380CC4-5D6E-409C-BE32-E72D297353CC}">
              <c16:uniqueId val="{00000001-A80F-4792-88FA-A51C363442D2}"/>
            </c:ext>
          </c:extLst>
        </c:ser>
        <c:ser>
          <c:idx val="2"/>
          <c:order val="2"/>
          <c:tx>
            <c:strRef>
              <c:f>'6-الواردة لنيابة جرائم الفساد'!$A$7</c:f>
              <c:strCache>
                <c:ptCount val="1"/>
                <c:pt idx="0">
                  <c:v>عدد الأشخاص المشتبه بهم المحالين</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'6-الواردة لنيابة جرائم الفساد'!$B$4:$E$4</c:f>
              <c:strCache>
                <c:ptCount val="4"/>
                <c:pt idx="0">
                  <c:v>2022</c:v>
                </c:pt>
                <c:pt idx="1">
                  <c:v>2023</c:v>
                </c:pt>
                <c:pt idx="2">
                  <c:v>2024</c:v>
                </c:pt>
                <c:pt idx="3">
                  <c:v>2025</c:v>
                </c:pt>
              </c:strCache>
            </c:strRef>
          </c:cat>
          <c:val>
            <c:numRef>
              <c:f>'6-الواردة لنيابة جرائم الفساد'!$B$7:$E$7</c:f>
              <c:numCache>
                <c:formatCode>General</c:formatCode>
                <c:ptCount val="4"/>
                <c:pt idx="0">
                  <c:v>93</c:v>
                </c:pt>
                <c:pt idx="1">
                  <c:v>58</c:v>
                </c:pt>
                <c:pt idx="2">
                  <c:v>68</c:v>
                </c:pt>
                <c:pt idx="3">
                  <c:v>75</c:v>
                </c:pt>
              </c:numCache>
            </c:numRef>
          </c:val>
          <c:extLst>
            <c:ext xmlns:c16="http://schemas.microsoft.com/office/drawing/2014/chart" uri="{C3380CC4-5D6E-409C-BE32-E72D297353CC}">
              <c16:uniqueId val="{00000002-A80F-4792-88FA-A51C363442D2}"/>
            </c:ext>
          </c:extLst>
        </c:ser>
        <c:ser>
          <c:idx val="3"/>
          <c:order val="3"/>
          <c:tx>
            <c:strRef>
              <c:f>'6-الواردة لنيابة جرائم الفساد'!$A$8</c:f>
              <c:strCache>
                <c:ptCount val="1"/>
                <c:pt idx="0">
                  <c:v>منهم إناث (مصنّف حسب الجنس - متوفر لعام 2025 فقط)</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'6-الواردة لنيابة جرائم الفساد'!$B$4:$E$4</c:f>
              <c:strCache>
                <c:ptCount val="4"/>
                <c:pt idx="0">
                  <c:v>2022</c:v>
                </c:pt>
                <c:pt idx="1">
                  <c:v>2023</c:v>
                </c:pt>
                <c:pt idx="2">
                  <c:v>2024</c:v>
                </c:pt>
                <c:pt idx="3">
                  <c:v>2025</c:v>
                </c:pt>
              </c:strCache>
            </c:strRef>
          </c:cat>
          <c:val>
            <c:numRef>
              <c:f>'6-الواردة لنيابة جرائم الفساد'!$B$8:$E$8</c:f>
              <c:numCache>
                <c:formatCode>General</c:formatCode>
                <c:ptCount val="4"/>
                <c:pt idx="0">
                  <c:v>0</c:v>
                </c:pt>
                <c:pt idx="1">
                  <c:v>0</c:v>
                </c:pt>
                <c:pt idx="2">
                  <c:v>0</c:v>
                </c:pt>
                <c:pt idx="3">
                  <c:v>12</c:v>
                </c:pt>
              </c:numCache>
            </c:numRef>
          </c:val>
          <c:extLst>
            <c:ext xmlns:c16="http://schemas.microsoft.com/office/drawing/2014/chart" uri="{C3380CC4-5D6E-409C-BE32-E72D297353CC}">
              <c16:uniqueId val="{00000003-A80F-4792-88FA-A51C363442D2}"/>
            </c:ext>
          </c:extLst>
        </c:ser>
        <c:ser>
          <c:idx val="4"/>
          <c:order val="4"/>
          <c:tx>
            <c:strRef>
              <c:f>'6-الواردة لنيابة جرائم الفساد'!$A$9</c:f>
              <c:strCache>
                <c:ptCount val="1"/>
                <c:pt idx="0">
                  <c:v>منهم ذكور (مصنّف حسب الجنس - متوفر لعام 2025 فقط)</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'6-الواردة لنيابة جرائم الفساد'!$B$4:$E$4</c:f>
              <c:strCache>
                <c:ptCount val="4"/>
                <c:pt idx="0">
                  <c:v>2022</c:v>
                </c:pt>
                <c:pt idx="1">
                  <c:v>2023</c:v>
                </c:pt>
                <c:pt idx="2">
                  <c:v>2024</c:v>
                </c:pt>
                <c:pt idx="3">
                  <c:v>2025</c:v>
                </c:pt>
              </c:strCache>
            </c:strRef>
          </c:cat>
          <c:val>
            <c:numRef>
              <c:f>'6-الواردة لنيابة جرائم الفساد'!$B$9:$E$9</c:f>
              <c:numCache>
                <c:formatCode>General</c:formatCode>
                <c:ptCount val="4"/>
                <c:pt idx="0">
                  <c:v>0</c:v>
                </c:pt>
                <c:pt idx="1">
                  <c:v>0</c:v>
                </c:pt>
                <c:pt idx="2">
                  <c:v>0</c:v>
                </c:pt>
                <c:pt idx="3">
                  <c:v>63</c:v>
                </c:pt>
              </c:numCache>
            </c:numRef>
          </c:val>
          <c:extLst>
            <c:ext xmlns:c16="http://schemas.microsoft.com/office/drawing/2014/chart" uri="{C3380CC4-5D6E-409C-BE32-E72D297353CC}">
              <c16:uniqueId val="{00000004-A80F-4792-88FA-A51C363442D2}"/>
            </c:ext>
          </c:extLst>
        </c:ser>
        <c:dLbls>
          <c:showLegendKey val="0"/>
          <c:showVal val="0"/>
          <c:showCatName val="0"/>
          <c:showSerName val="0"/>
          <c:showPercent val="0"/>
          <c:showBubbleSize val="0"/>
        </c:dLbls>
        <c:gapWidth val="150"/>
        <c:axId val="2879218"/>
        <c:axId val="40183859"/>
      </c:barChart>
      <c:catAx>
        <c:axId val="287921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183859"/>
        <c:crosses val="autoZero"/>
        <c:auto val="1"/>
        <c:lblAlgn val="ctr"/>
        <c:lblOffset val="100"/>
        <c:noMultiLvlLbl val="0"/>
      </c:catAx>
      <c:valAx>
        <c:axId val="40183859"/>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87921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7. نسبة ملفات التحقيق الجزائي المنجزة لدى نيابة جرائم الفساد</a:t>
            </a:r>
          </a:p>
        </c:rich>
      </c:tx>
      <c:overlay val="0"/>
      <c:spPr>
        <a:noFill/>
        <a:ln w="0">
          <a:noFill/>
        </a:ln>
      </c:spPr>
    </c:title>
    <c:autoTitleDeleted val="0"/>
    <c:plotArea>
      <c:layout/>
      <c:barChart>
        <c:barDir val="col"/>
        <c:grouping val="clustered"/>
        <c:varyColors val="0"/>
        <c:ser>
          <c:idx val="0"/>
          <c:order val="0"/>
          <c:tx>
            <c:strRef>
              <c:f>'7-نسبة المنجز لدى النيابة'!$A$5</c:f>
              <c:strCache>
                <c:ptCount val="1"/>
                <c:pt idx="0">
                  <c:v>النسبة المئوية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'7-نسبة المنجز لدى النيابة'!$B$4:$E$4</c:f>
              <c:strCache>
                <c:ptCount val="4"/>
                <c:pt idx="0">
                  <c:v>2022</c:v>
                </c:pt>
                <c:pt idx="1">
                  <c:v>2023</c:v>
                </c:pt>
                <c:pt idx="2">
                  <c:v>2024</c:v>
                </c:pt>
                <c:pt idx="3">
                  <c:v>2025</c:v>
                </c:pt>
              </c:strCache>
            </c:strRef>
          </c:cat>
          <c:val>
            <c:numRef>
              <c:f>'7-نسبة المنجز لدى النيابة'!$B$5:$E$5</c:f>
              <c:numCache>
                <c:formatCode>General</c:formatCode>
                <c:ptCount val="4"/>
                <c:pt idx="0">
                  <c:v>50.6</c:v>
                </c:pt>
                <c:pt idx="1">
                  <c:v>123.1</c:v>
                </c:pt>
                <c:pt idx="2">
                  <c:v>130.19999999999999</c:v>
                </c:pt>
                <c:pt idx="3">
                  <c:v>122</c:v>
                </c:pt>
              </c:numCache>
            </c:numRef>
          </c:val>
          <c:extLst>
            <c:ext xmlns:c16="http://schemas.microsoft.com/office/drawing/2014/chart" uri="{C3380CC4-5D6E-409C-BE32-E72D297353CC}">
              <c16:uniqueId val="{00000000-E62D-4EE2-BE7F-FE0D8DE1F511}"/>
            </c:ext>
          </c:extLst>
        </c:ser>
        <c:ser>
          <c:idx val="1"/>
          <c:order val="1"/>
          <c:tx>
            <c:strRef>
              <c:f>'7-نسبة المنجز لدى النيابة'!$A$6</c:f>
              <c:strCache>
                <c:ptCount val="1"/>
                <c:pt idx="0">
                  <c:v>عدد القضايا الواردة (المستخدمة بالحساب)</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'7-نسبة المنجز لدى النيابة'!$B$4:$E$4</c:f>
              <c:strCache>
                <c:ptCount val="4"/>
                <c:pt idx="0">
                  <c:v>2022</c:v>
                </c:pt>
                <c:pt idx="1">
                  <c:v>2023</c:v>
                </c:pt>
                <c:pt idx="2">
                  <c:v>2024</c:v>
                </c:pt>
                <c:pt idx="3">
                  <c:v>2025</c:v>
                </c:pt>
              </c:strCache>
            </c:strRef>
          </c:cat>
          <c:val>
            <c:numRef>
              <c:f>'7-نسبة المنجز لدى النيابة'!$B$6:$E$6</c:f>
              <c:numCache>
                <c:formatCode>General</c:formatCode>
                <c:ptCount val="4"/>
                <c:pt idx="0">
                  <c:v>87</c:v>
                </c:pt>
                <c:pt idx="1">
                  <c:v>52</c:v>
                </c:pt>
                <c:pt idx="2">
                  <c:v>43</c:v>
                </c:pt>
                <c:pt idx="3">
                  <c:v>41</c:v>
                </c:pt>
              </c:numCache>
            </c:numRef>
          </c:val>
          <c:extLst>
            <c:ext xmlns:c16="http://schemas.microsoft.com/office/drawing/2014/chart" uri="{C3380CC4-5D6E-409C-BE32-E72D297353CC}">
              <c16:uniqueId val="{00000001-E62D-4EE2-BE7F-FE0D8DE1F511}"/>
            </c:ext>
          </c:extLst>
        </c:ser>
        <c:dLbls>
          <c:showLegendKey val="0"/>
          <c:showVal val="0"/>
          <c:showCatName val="0"/>
          <c:showSerName val="0"/>
          <c:showPercent val="0"/>
          <c:showBubbleSize val="0"/>
        </c:dLbls>
        <c:gapWidth val="150"/>
        <c:axId val="48471162"/>
        <c:axId val="43402534"/>
      </c:barChart>
      <c:catAx>
        <c:axId val="4847116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402534"/>
        <c:crosses val="autoZero"/>
        <c:auto val="1"/>
        <c:lblAlgn val="ctr"/>
        <c:lblOffset val="100"/>
        <c:noMultiLvlLbl val="0"/>
      </c:catAx>
      <c:valAx>
        <c:axId val="4340253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47116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8. عدد المتهمين المحالين من نيابة جرائم الفساد إلى محكمة جرائم الفساد</a:t>
            </a:r>
          </a:p>
        </c:rich>
      </c:tx>
      <c:overlay val="0"/>
      <c:spPr>
        <a:noFill/>
        <a:ln w="0">
          <a:noFill/>
        </a:ln>
      </c:spPr>
    </c:title>
    <c:autoTitleDeleted val="0"/>
    <c:plotArea>
      <c:layout/>
      <c:barChart>
        <c:barDir val="col"/>
        <c:grouping val="clustered"/>
        <c:varyColors val="0"/>
        <c:ser>
          <c:idx val="0"/>
          <c:order val="0"/>
          <c:tx>
            <c:strRef>
              <c:f>'8-المحالين لمحكمة الفساد'!$A$5</c:f>
              <c:strCache>
                <c:ptCount val="1"/>
                <c:pt idx="0">
                  <c:v>عدد المتهمين المحالين</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'8-المحالين لمحكمة الفساد'!$B$4:$E$4</c:f>
              <c:strCache>
                <c:ptCount val="4"/>
                <c:pt idx="0">
                  <c:v>2022</c:v>
                </c:pt>
                <c:pt idx="1">
                  <c:v>2023</c:v>
                </c:pt>
                <c:pt idx="2">
                  <c:v>2024</c:v>
                </c:pt>
                <c:pt idx="3">
                  <c:v>2025</c:v>
                </c:pt>
              </c:strCache>
            </c:strRef>
          </c:cat>
          <c:val>
            <c:numRef>
              <c:f>'8-المحالين لمحكمة الفساد'!$B$5:$E$5</c:f>
              <c:numCache>
                <c:formatCode>General</c:formatCode>
                <c:ptCount val="4"/>
                <c:pt idx="0">
                  <c:v>60</c:v>
                </c:pt>
                <c:pt idx="1">
                  <c:v>90</c:v>
                </c:pt>
                <c:pt idx="2">
                  <c:v>74</c:v>
                </c:pt>
                <c:pt idx="3">
                  <c:v>84</c:v>
                </c:pt>
              </c:numCache>
            </c:numRef>
          </c:val>
          <c:extLst>
            <c:ext xmlns:c16="http://schemas.microsoft.com/office/drawing/2014/chart" uri="{C3380CC4-5D6E-409C-BE32-E72D297353CC}">
              <c16:uniqueId val="{00000000-97D7-41B5-992D-9CAE00C6DDD5}"/>
            </c:ext>
          </c:extLst>
        </c:ser>
        <c:ser>
          <c:idx val="1"/>
          <c:order val="1"/>
          <c:tx>
            <c:strRef>
              <c:f>'8-المحالين لمحكمة الفساد'!$A$6</c:f>
              <c:strCache>
                <c:ptCount val="1"/>
                <c:pt idx="0">
                  <c:v>عدد المتهمين المحالين - ذكور</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'8-المحالين لمحكمة الفساد'!$B$4:$E$4</c:f>
              <c:strCache>
                <c:ptCount val="4"/>
                <c:pt idx="0">
                  <c:v>2022</c:v>
                </c:pt>
                <c:pt idx="1">
                  <c:v>2023</c:v>
                </c:pt>
                <c:pt idx="2">
                  <c:v>2024</c:v>
                </c:pt>
                <c:pt idx="3">
                  <c:v>2025</c:v>
                </c:pt>
              </c:strCache>
            </c:strRef>
          </c:cat>
          <c:val>
            <c:numRef>
              <c:f>'8-المحالين لمحكمة الفساد'!$B$6:$E$6</c:f>
              <c:numCache>
                <c:formatCode>General</c:formatCode>
                <c:ptCount val="4"/>
                <c:pt idx="0">
                  <c:v>59</c:v>
                </c:pt>
                <c:pt idx="1">
                  <c:v>89</c:v>
                </c:pt>
                <c:pt idx="2">
                  <c:v>68</c:v>
                </c:pt>
                <c:pt idx="3">
                  <c:v>76</c:v>
                </c:pt>
              </c:numCache>
            </c:numRef>
          </c:val>
          <c:extLst>
            <c:ext xmlns:c16="http://schemas.microsoft.com/office/drawing/2014/chart" uri="{C3380CC4-5D6E-409C-BE32-E72D297353CC}">
              <c16:uniqueId val="{00000001-97D7-41B5-992D-9CAE00C6DDD5}"/>
            </c:ext>
          </c:extLst>
        </c:ser>
        <c:dLbls>
          <c:showLegendKey val="0"/>
          <c:showVal val="0"/>
          <c:showCatName val="0"/>
          <c:showSerName val="0"/>
          <c:showPercent val="0"/>
          <c:showBubbleSize val="0"/>
        </c:dLbls>
        <c:gapWidth val="150"/>
        <c:axId val="21590986"/>
        <c:axId val="80461264"/>
      </c:barChart>
      <c:catAx>
        <c:axId val="2159098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461264"/>
        <c:crosses val="autoZero"/>
        <c:auto val="1"/>
        <c:lblAlgn val="ctr"/>
        <c:lblOffset val="100"/>
        <c:noMultiLvlLbl val="0"/>
      </c:catAx>
      <c:valAx>
        <c:axId val="8046126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5909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9. عدد القضايا المفصولة بحكم في محكمة جرائم الفساد</a:t>
            </a:r>
          </a:p>
        </c:rich>
      </c:tx>
      <c:overlay val="0"/>
      <c:spPr>
        <a:noFill/>
        <a:ln w="0">
          <a:noFill/>
        </a:ln>
      </c:spPr>
    </c:title>
    <c:autoTitleDeleted val="0"/>
    <c:plotArea>
      <c:layout/>
      <c:barChart>
        <c:barDir val="col"/>
        <c:grouping val="clustered"/>
        <c:varyColors val="0"/>
        <c:ser>
          <c:idx val="0"/>
          <c:order val="0"/>
          <c:tx>
            <c:strRef>
              <c:f>'9-القضايا المفصولة بحكم'!$A$5</c:f>
              <c:strCache>
                <c:ptCount val="1"/>
                <c:pt idx="0">
                  <c:v>عدد القضايا المفصولة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'9-القضايا المفصولة بحكم'!$B$4:$E$4</c:f>
              <c:strCache>
                <c:ptCount val="4"/>
                <c:pt idx="0">
                  <c:v>2022</c:v>
                </c:pt>
                <c:pt idx="1">
                  <c:v>2023</c:v>
                </c:pt>
                <c:pt idx="2">
                  <c:v>2024</c:v>
                </c:pt>
                <c:pt idx="3">
                  <c:v>2025</c:v>
                </c:pt>
              </c:strCache>
            </c:strRef>
          </c:cat>
          <c:val>
            <c:numRef>
              <c:f>'9-القضايا المفصولة بحكم'!$B$5:$E$5</c:f>
              <c:numCache>
                <c:formatCode>General</c:formatCode>
                <c:ptCount val="4"/>
                <c:pt idx="0">
                  <c:v>17</c:v>
                </c:pt>
                <c:pt idx="1">
                  <c:v>10</c:v>
                </c:pt>
                <c:pt idx="2">
                  <c:v>13</c:v>
                </c:pt>
                <c:pt idx="3">
                  <c:v>26</c:v>
                </c:pt>
              </c:numCache>
            </c:numRef>
          </c:val>
          <c:extLst>
            <c:ext xmlns:c16="http://schemas.microsoft.com/office/drawing/2014/chart" uri="{C3380CC4-5D6E-409C-BE32-E72D297353CC}">
              <c16:uniqueId val="{00000000-F214-4194-84D4-BF9245D0967B}"/>
            </c:ext>
          </c:extLst>
        </c:ser>
        <c:ser>
          <c:idx val="1"/>
          <c:order val="1"/>
          <c:tx>
            <c:strRef>
              <c:f>'9-القضايا المفصولة بحكم'!$A$6</c:f>
              <c:strCache>
                <c:ptCount val="1"/>
                <c:pt idx="0">
                  <c:v>نتيجة الحكم: إدانة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'9-القضايا المفصولة بحكم'!$B$4:$E$4</c:f>
              <c:strCache>
                <c:ptCount val="4"/>
                <c:pt idx="0">
                  <c:v>2022</c:v>
                </c:pt>
                <c:pt idx="1">
                  <c:v>2023</c:v>
                </c:pt>
                <c:pt idx="2">
                  <c:v>2024</c:v>
                </c:pt>
                <c:pt idx="3">
                  <c:v>2025</c:v>
                </c:pt>
              </c:strCache>
            </c:strRef>
          </c:cat>
          <c:val>
            <c:numRef>
              <c:f>'9-القضايا المفصولة بحكم'!$B$6:$E$6</c:f>
              <c:numCache>
                <c:formatCode>General</c:formatCode>
                <c:ptCount val="4"/>
                <c:pt idx="0">
                  <c:v>7</c:v>
                </c:pt>
                <c:pt idx="1">
                  <c:v>6</c:v>
                </c:pt>
                <c:pt idx="2">
                  <c:v>8</c:v>
                </c:pt>
                <c:pt idx="3">
                  <c:v>12</c:v>
                </c:pt>
              </c:numCache>
            </c:numRef>
          </c:val>
          <c:extLst>
            <c:ext xmlns:c16="http://schemas.microsoft.com/office/drawing/2014/chart" uri="{C3380CC4-5D6E-409C-BE32-E72D297353CC}">
              <c16:uniqueId val="{00000001-F214-4194-84D4-BF9245D0967B}"/>
            </c:ext>
          </c:extLst>
        </c:ser>
        <c:dLbls>
          <c:showLegendKey val="0"/>
          <c:showVal val="0"/>
          <c:showCatName val="0"/>
          <c:showSerName val="0"/>
          <c:showPercent val="0"/>
          <c:showBubbleSize val="0"/>
        </c:dLbls>
        <c:gapWidth val="150"/>
        <c:axId val="79864367"/>
        <c:axId val="62418728"/>
      </c:barChart>
      <c:catAx>
        <c:axId val="798643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418728"/>
        <c:crosses val="autoZero"/>
        <c:auto val="1"/>
        <c:lblAlgn val="ctr"/>
        <c:lblOffset val="100"/>
        <c:noMultiLvlLbl val="0"/>
      </c:catAx>
      <c:valAx>
        <c:axId val="62418728"/>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86436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10. عدد المدانين في القضايا المفصولة بحكم في محكمة جرائم الفساد</a:t>
            </a:r>
          </a:p>
        </c:rich>
      </c:tx>
      <c:overlay val="0"/>
      <c:spPr>
        <a:noFill/>
        <a:ln w="0">
          <a:noFill/>
        </a:ln>
      </c:spPr>
    </c:title>
    <c:autoTitleDeleted val="0"/>
    <c:plotArea>
      <c:layout/>
      <c:barChart>
        <c:barDir val="col"/>
        <c:grouping val="clustered"/>
        <c:varyColors val="0"/>
        <c:ser>
          <c:idx val="0"/>
          <c:order val="0"/>
          <c:tx>
            <c:strRef>
              <c:f>'10-المدانين'!$A$5</c:f>
              <c:strCache>
                <c:ptCount val="1"/>
                <c:pt idx="0">
                  <c:v>عدد المدانين</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'10-المدانين'!$B$4:$E$4</c:f>
              <c:strCache>
                <c:ptCount val="4"/>
                <c:pt idx="0">
                  <c:v>2022</c:v>
                </c:pt>
                <c:pt idx="1">
                  <c:v>2023</c:v>
                </c:pt>
                <c:pt idx="2">
                  <c:v>2024</c:v>
                </c:pt>
                <c:pt idx="3">
                  <c:v>2025</c:v>
                </c:pt>
              </c:strCache>
            </c:strRef>
          </c:cat>
          <c:val>
            <c:numRef>
              <c:f>'10-المدانين'!$B$5:$E$5</c:f>
              <c:numCache>
                <c:formatCode>General</c:formatCode>
                <c:ptCount val="4"/>
                <c:pt idx="0">
                  <c:v>10</c:v>
                </c:pt>
                <c:pt idx="1">
                  <c:v>11</c:v>
                </c:pt>
                <c:pt idx="2">
                  <c:v>12</c:v>
                </c:pt>
                <c:pt idx="3">
                  <c:v>13</c:v>
                </c:pt>
              </c:numCache>
            </c:numRef>
          </c:val>
          <c:extLst>
            <c:ext xmlns:c16="http://schemas.microsoft.com/office/drawing/2014/chart" uri="{C3380CC4-5D6E-409C-BE32-E72D297353CC}">
              <c16:uniqueId val="{00000000-D941-4CA4-89F6-A46DF810CE50}"/>
            </c:ext>
          </c:extLst>
        </c:ser>
        <c:ser>
          <c:idx val="1"/>
          <c:order val="1"/>
          <c:tx>
            <c:strRef>
              <c:f>'10-المدانين'!$A$6</c:f>
              <c:strCache>
                <c:ptCount val="1"/>
                <c:pt idx="0">
                  <c:v>عدد المدانين - ذكور</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'10-المدانين'!$B$4:$E$4</c:f>
              <c:strCache>
                <c:ptCount val="4"/>
                <c:pt idx="0">
                  <c:v>2022</c:v>
                </c:pt>
                <c:pt idx="1">
                  <c:v>2023</c:v>
                </c:pt>
                <c:pt idx="2">
                  <c:v>2024</c:v>
                </c:pt>
                <c:pt idx="3">
                  <c:v>2025</c:v>
                </c:pt>
              </c:strCache>
            </c:strRef>
          </c:cat>
          <c:val>
            <c:numRef>
              <c:f>'10-المدانين'!$B$6:$E$6</c:f>
              <c:numCache>
                <c:formatCode>General</c:formatCode>
                <c:ptCount val="4"/>
                <c:pt idx="0">
                  <c:v>10</c:v>
                </c:pt>
                <c:pt idx="1">
                  <c:v>11</c:v>
                </c:pt>
                <c:pt idx="2">
                  <c:v>12</c:v>
                </c:pt>
                <c:pt idx="3">
                  <c:v>13</c:v>
                </c:pt>
              </c:numCache>
            </c:numRef>
          </c:val>
          <c:extLst>
            <c:ext xmlns:c16="http://schemas.microsoft.com/office/drawing/2014/chart" uri="{C3380CC4-5D6E-409C-BE32-E72D297353CC}">
              <c16:uniqueId val="{00000001-D941-4CA4-89F6-A46DF810CE50}"/>
            </c:ext>
          </c:extLst>
        </c:ser>
        <c:dLbls>
          <c:showLegendKey val="0"/>
          <c:showVal val="0"/>
          <c:showCatName val="0"/>
          <c:showSerName val="0"/>
          <c:showPercent val="0"/>
          <c:showBubbleSize val="0"/>
        </c:dLbls>
        <c:gapWidth val="150"/>
        <c:axId val="43413742"/>
        <c:axId val="30574976"/>
      </c:barChart>
      <c:catAx>
        <c:axId val="4341374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0574976"/>
        <c:crosses val="autoZero"/>
        <c:auto val="1"/>
        <c:lblAlgn val="ctr"/>
        <c:lblOffset val="100"/>
        <c:noMultiLvlLbl val="0"/>
      </c:catAx>
      <c:valAx>
        <c:axId val="30574976"/>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4137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12. عدد إقرارات الذمة المالية الموزعة على المكلفين في الجهات الخاضعة</a:t>
            </a:r>
          </a:p>
        </c:rich>
      </c:tx>
      <c:overlay val="0"/>
      <c:spPr>
        <a:noFill/>
        <a:ln w="0">
          <a:noFill/>
        </a:ln>
      </c:spPr>
    </c:title>
    <c:autoTitleDeleted val="0"/>
    <c:plotArea>
      <c:layout/>
      <c:lineChart>
        <c:grouping val="standard"/>
        <c:varyColors val="0"/>
        <c:ser>
          <c:idx val="0"/>
          <c:order val="0"/>
          <c:tx>
            <c:strRef>
              <c:f>'12-الإقرارات الموزعة'!$A$5</c:f>
              <c:strCache>
                <c:ptCount val="1"/>
                <c:pt idx="0">
                  <c:v>عدد نماذج إقرارات الذمة المالية الموزعة (المسلمة للمكلفين)</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'12-الإقرارات الموزعة'!$B$4:$E$4</c:f>
              <c:strCache>
                <c:ptCount val="4"/>
                <c:pt idx="0">
                  <c:v>2022</c:v>
                </c:pt>
                <c:pt idx="1">
                  <c:v>2023</c:v>
                </c:pt>
                <c:pt idx="2">
                  <c:v>2024</c:v>
                </c:pt>
                <c:pt idx="3">
                  <c:v>2025</c:v>
                </c:pt>
              </c:strCache>
            </c:strRef>
          </c:cat>
          <c:val>
            <c:numRef>
              <c:f>'12-الإقرارات الموزعة'!$B$5:$E$5</c:f>
              <c:numCache>
                <c:formatCode>General</c:formatCode>
                <c:ptCount val="4"/>
                <c:pt idx="0">
                  <c:v>3933</c:v>
                </c:pt>
                <c:pt idx="1">
                  <c:v>3327</c:v>
                </c:pt>
                <c:pt idx="2">
                  <c:v>4504</c:v>
                </c:pt>
                <c:pt idx="3">
                  <c:v>2177</c:v>
                </c:pt>
              </c:numCache>
            </c:numRef>
          </c:val>
          <c:smooth val="1"/>
          <c:extLst>
            <c:ext xmlns:c16="http://schemas.microsoft.com/office/drawing/2014/chart" uri="{C3380CC4-5D6E-409C-BE32-E72D297353CC}">
              <c16:uniqueId val="{00000000-2016-4E8A-BF29-83A62E38B9AE}"/>
            </c:ext>
          </c:extLst>
        </c:ser>
        <c:dLbls>
          <c:showLegendKey val="0"/>
          <c:showVal val="0"/>
          <c:showCatName val="0"/>
          <c:showSerName val="0"/>
          <c:showPercent val="0"/>
          <c:showBubbleSize val="0"/>
        </c:dLbls>
        <c:hiLowLines>
          <c:spPr>
            <a:ln w="0">
              <a:noFill/>
            </a:ln>
          </c:spPr>
        </c:hiLowLines>
        <c:smooth val="0"/>
        <c:axId val="39329993"/>
        <c:axId val="72081751"/>
      </c:lineChart>
      <c:catAx>
        <c:axId val="3932999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081751"/>
        <c:crosses val="autoZero"/>
        <c:auto val="1"/>
        <c:lblAlgn val="ctr"/>
        <c:lblOffset val="100"/>
        <c:noMultiLvlLbl val="0"/>
      </c:catAx>
      <c:valAx>
        <c:axId val="72081751"/>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32999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13. نسبة إقرارات الذمة المالية المستوفاة</a:t>
            </a:r>
          </a:p>
        </c:rich>
      </c:tx>
      <c:overlay val="0"/>
      <c:spPr>
        <a:noFill/>
        <a:ln w="0">
          <a:noFill/>
        </a:ln>
      </c:spPr>
    </c:title>
    <c:autoTitleDeleted val="0"/>
    <c:plotArea>
      <c:layout/>
      <c:barChart>
        <c:barDir val="col"/>
        <c:grouping val="clustered"/>
        <c:varyColors val="0"/>
        <c:ser>
          <c:idx val="0"/>
          <c:order val="0"/>
          <c:tx>
            <c:strRef>
              <c:f>'13-نسبة الإقرارات المستوفاة'!$A$5</c:f>
              <c:strCache>
                <c:ptCount val="1"/>
                <c:pt idx="0">
                  <c:v>إجمالي الإقرارات المستلمة فعلياً</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'13-نسبة الإقرارات المستوفاة'!$B$4:$E$4</c:f>
              <c:strCache>
                <c:ptCount val="4"/>
                <c:pt idx="0">
                  <c:v>2022</c:v>
                </c:pt>
                <c:pt idx="1">
                  <c:v>2023</c:v>
                </c:pt>
                <c:pt idx="2">
                  <c:v>2024</c:v>
                </c:pt>
                <c:pt idx="3">
                  <c:v>2025</c:v>
                </c:pt>
              </c:strCache>
            </c:strRef>
          </c:cat>
          <c:val>
            <c:numRef>
              <c:f>'13-نسبة الإقرارات المستوفاة'!$B$5:$E$5</c:f>
              <c:numCache>
                <c:formatCode>General</c:formatCode>
                <c:ptCount val="4"/>
                <c:pt idx="0">
                  <c:v>3269</c:v>
                </c:pt>
                <c:pt idx="1">
                  <c:v>2836</c:v>
                </c:pt>
                <c:pt idx="2">
                  <c:v>2542</c:v>
                </c:pt>
                <c:pt idx="3">
                  <c:v>2082</c:v>
                </c:pt>
              </c:numCache>
            </c:numRef>
          </c:val>
          <c:extLst>
            <c:ext xmlns:c16="http://schemas.microsoft.com/office/drawing/2014/chart" uri="{C3380CC4-5D6E-409C-BE32-E72D297353CC}">
              <c16:uniqueId val="{00000000-0EA5-450D-9BC7-87D15B7D77C0}"/>
            </c:ext>
          </c:extLst>
        </c:ser>
        <c:ser>
          <c:idx val="1"/>
          <c:order val="1"/>
          <c:tx>
            <c:strRef>
              <c:f>'13-نسبة الإقرارات المستوفاة'!$A$6</c:f>
              <c:strCache>
                <c:ptCount val="1"/>
                <c:pt idx="0">
                  <c:v>النسبة المئوية (المستلمة ÷ الموزعة)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'13-نسبة الإقرارات المستوفاة'!$B$4:$E$4</c:f>
              <c:strCache>
                <c:ptCount val="4"/>
                <c:pt idx="0">
                  <c:v>2022</c:v>
                </c:pt>
                <c:pt idx="1">
                  <c:v>2023</c:v>
                </c:pt>
                <c:pt idx="2">
                  <c:v>2024</c:v>
                </c:pt>
                <c:pt idx="3">
                  <c:v>2025</c:v>
                </c:pt>
              </c:strCache>
            </c:strRef>
          </c:cat>
          <c:val>
            <c:numRef>
              <c:f>'13-نسبة الإقرارات المستوفاة'!$B$6:$E$6</c:f>
              <c:numCache>
                <c:formatCode>0.0%</c:formatCode>
                <c:ptCount val="4"/>
                <c:pt idx="0">
                  <c:v>0.83117213323162975</c:v>
                </c:pt>
                <c:pt idx="1">
                  <c:v>0.85241959723474603</c:v>
                </c:pt>
                <c:pt idx="2">
                  <c:v>0.56438721136767322</c:v>
                </c:pt>
                <c:pt idx="3">
                  <c:v>0.95636196600826828</c:v>
                </c:pt>
              </c:numCache>
            </c:numRef>
          </c:val>
          <c:extLst>
            <c:ext xmlns:c16="http://schemas.microsoft.com/office/drawing/2014/chart" uri="{C3380CC4-5D6E-409C-BE32-E72D297353CC}">
              <c16:uniqueId val="{00000001-0EA5-450D-9BC7-87D15B7D77C0}"/>
            </c:ext>
          </c:extLst>
        </c:ser>
        <c:dLbls>
          <c:showLegendKey val="0"/>
          <c:showVal val="0"/>
          <c:showCatName val="0"/>
          <c:showSerName val="0"/>
          <c:showPercent val="0"/>
          <c:showBubbleSize val="0"/>
        </c:dLbls>
        <c:gapWidth val="150"/>
        <c:axId val="50762411"/>
        <c:axId val="7993358"/>
      </c:barChart>
      <c:catAx>
        <c:axId val="507624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93358"/>
        <c:crosses val="autoZero"/>
        <c:auto val="1"/>
        <c:lblAlgn val="ctr"/>
        <c:lblOffset val="100"/>
        <c:noMultiLvlLbl val="0"/>
      </c:catAx>
      <c:valAx>
        <c:axId val="7993358"/>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076241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فض/فحص الإقرارات (بيانات جزئية 2023-2024)</a:t>
            </a:r>
          </a:p>
        </c:rich>
      </c:tx>
      <c:overlay val="0"/>
      <c:spPr>
        <a:noFill/>
        <a:ln w="0">
          <a:noFill/>
        </a:ln>
      </c:spPr>
    </c:title>
    <c:autoTitleDeleted val="0"/>
    <c:plotArea>
      <c:layout/>
      <c:barChart>
        <c:barDir val="col"/>
        <c:grouping val="clustered"/>
        <c:varyColors val="0"/>
        <c:ser>
          <c:idx val="0"/>
          <c:order val="0"/>
          <c:tx>
            <c:strRef>
              <c:f>'14-فض الإقرارات للفحص'!$A$5</c:f>
              <c:strCache>
                <c:ptCount val="1"/>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'14-فض الإقرارات للفحص'!$B$4:$E$4</c:f>
              <c:numCache>
                <c:formatCode>General</c:formatCode>
                <c:ptCount val="4"/>
              </c:numCache>
            </c:numRef>
          </c:cat>
          <c:val>
            <c:numRef>
              <c:f>'14-فض الإقرارات للفحص'!$B$5:$E$5</c:f>
              <c:numCache>
                <c:formatCode>General</c:formatCode>
                <c:ptCount val="4"/>
              </c:numCache>
            </c:numRef>
          </c:val>
          <c:extLst>
            <c:ext xmlns:c16="http://schemas.microsoft.com/office/drawing/2014/chart" uri="{C3380CC4-5D6E-409C-BE32-E72D297353CC}">
              <c16:uniqueId val="{00000000-640F-4801-AAD1-FAC34538CF54}"/>
            </c:ext>
          </c:extLst>
        </c:ser>
        <c:ser>
          <c:idx val="1"/>
          <c:order val="1"/>
          <c:tx>
            <c:strRef>
              <c:f>'14-فض الإقرارات للفحص'!$A$6</c:f>
              <c:strCache>
                <c:ptCount val="1"/>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'14-فض الإقرارات للفحص'!$B$4:$E$4</c:f>
              <c:numCache>
                <c:formatCode>General</c:formatCode>
                <c:ptCount val="4"/>
              </c:numCache>
            </c:numRef>
          </c:cat>
          <c:val>
            <c:numRef>
              <c:f>'14-فض الإقرارات للفحص'!$B$6:$E$6</c:f>
              <c:numCache>
                <c:formatCode>General</c:formatCode>
                <c:ptCount val="4"/>
              </c:numCache>
            </c:numRef>
          </c:val>
          <c:extLst>
            <c:ext xmlns:c16="http://schemas.microsoft.com/office/drawing/2014/chart" uri="{C3380CC4-5D6E-409C-BE32-E72D297353CC}">
              <c16:uniqueId val="{00000001-640F-4801-AAD1-FAC34538CF54}"/>
            </c:ext>
          </c:extLst>
        </c:ser>
        <c:dLbls>
          <c:showLegendKey val="0"/>
          <c:showVal val="0"/>
          <c:showCatName val="0"/>
          <c:showSerName val="0"/>
          <c:showPercent val="0"/>
          <c:showBubbleSize val="0"/>
        </c:dLbls>
        <c:gapWidth val="150"/>
        <c:axId val="11941427"/>
        <c:axId val="14798345"/>
      </c:barChart>
      <c:catAx>
        <c:axId val="1194142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798345"/>
        <c:crosses val="autoZero"/>
        <c:auto val="1"/>
        <c:lblAlgn val="ctr"/>
        <c:lblOffset val="100"/>
        <c:noMultiLvlLbl val="0"/>
      </c:catAx>
      <c:valAx>
        <c:axId val="1479834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19414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فحص الإقرارات حسب السبب والجنس (بيانات جديدة 2022-2025)</a:t>
            </a:r>
          </a:p>
        </c:rich>
      </c:tx>
      <c:overlay val="0"/>
      <c:spPr>
        <a:noFill/>
        <a:ln w="0">
          <a:noFill/>
        </a:ln>
      </c:spPr>
    </c:title>
    <c:autoTitleDeleted val="0"/>
    <c:plotArea>
      <c:layout/>
      <c:barChart>
        <c:barDir val="col"/>
        <c:grouping val="clustered"/>
        <c:varyColors val="0"/>
        <c:ser>
          <c:idx val="0"/>
          <c:order val="0"/>
          <c:tx>
            <c:strRef>
              <c:f>'14-فض الإقرارات للفحص'!$A$14</c:f>
              <c:strCache>
                <c:ptCount val="1"/>
                <c:pt idx="0">
                  <c:v>عدد الإقرارات المفحوصة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للفحص'!$B$14:$E$14</c:f>
              <c:numCache>
                <c:formatCode>General</c:formatCode>
                <c:ptCount val="4"/>
                <c:pt idx="0">
                  <c:v>48</c:v>
                </c:pt>
                <c:pt idx="1">
                  <c:v>36</c:v>
                </c:pt>
                <c:pt idx="2">
                  <c:v>4</c:v>
                </c:pt>
                <c:pt idx="3">
                  <c:v>92</c:v>
                </c:pt>
              </c:numCache>
            </c:numRef>
          </c:val>
          <c:extLst>
            <c:ext xmlns:c16="http://schemas.microsoft.com/office/drawing/2014/chart" uri="{C3380CC4-5D6E-409C-BE32-E72D297353CC}">
              <c16:uniqueId val="{00000000-6281-4F05-A880-68FDBE0EBD67}"/>
            </c:ext>
          </c:extLst>
        </c:ser>
        <c:ser>
          <c:idx val="1"/>
          <c:order val="1"/>
          <c:tx>
            <c:strRef>
              <c:f>'14-فض الإقرارات للفحص'!$A$15</c:f>
              <c:strCache>
                <c:ptCount val="1"/>
                <c:pt idx="0">
                  <c:v>عدد الأشخاص (المكلفين)</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للفحص'!$B$15:$E$15</c:f>
              <c:numCache>
                <c:formatCode>General</c:formatCode>
                <c:ptCount val="4"/>
                <c:pt idx="0">
                  <c:v>30</c:v>
                </c:pt>
                <c:pt idx="1">
                  <c:v>21</c:v>
                </c:pt>
                <c:pt idx="2">
                  <c:v>3</c:v>
                </c:pt>
                <c:pt idx="3">
                  <c:v>49</c:v>
                </c:pt>
              </c:numCache>
            </c:numRef>
          </c:val>
          <c:extLst>
            <c:ext xmlns:c16="http://schemas.microsoft.com/office/drawing/2014/chart" uri="{C3380CC4-5D6E-409C-BE32-E72D297353CC}">
              <c16:uniqueId val="{00000001-6281-4F05-A880-68FDBE0EBD67}"/>
            </c:ext>
          </c:extLst>
        </c:ser>
        <c:ser>
          <c:idx val="2"/>
          <c:order val="2"/>
          <c:tx>
            <c:strRef>
              <c:f>'14-فض الإقرارات للفحص'!$A$16</c:f>
              <c:strCache>
                <c:ptCount val="1"/>
                <c:pt idx="0">
                  <c:v>الفحص بناءً على شكوى</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للفحص'!$B$16:$E$16</c:f>
              <c:numCache>
                <c:formatCode>General</c:formatCode>
                <c:ptCount val="4"/>
                <c:pt idx="0">
                  <c:v>28</c:v>
                </c:pt>
                <c:pt idx="1">
                  <c:v>17</c:v>
                </c:pt>
                <c:pt idx="2">
                  <c:v>2</c:v>
                </c:pt>
                <c:pt idx="3">
                  <c:v>72</c:v>
                </c:pt>
              </c:numCache>
            </c:numRef>
          </c:val>
          <c:extLst>
            <c:ext xmlns:c16="http://schemas.microsoft.com/office/drawing/2014/chart" uri="{C3380CC4-5D6E-409C-BE32-E72D297353CC}">
              <c16:uniqueId val="{00000002-6281-4F05-A880-68FDBE0EBD67}"/>
            </c:ext>
          </c:extLst>
        </c:ser>
        <c:ser>
          <c:idx val="3"/>
          <c:order val="3"/>
          <c:tx>
            <c:strRef>
              <c:f>'14-فض الإقرارات للفحص'!$A$17</c:f>
              <c:strCache>
                <c:ptCount val="1"/>
                <c:pt idx="0">
                  <c:v>الفحص بناءً على بلاغ/تحري</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للفحص'!$B$17:$E$17</c:f>
              <c:numCache>
                <c:formatCode>General</c:formatCode>
                <c:ptCount val="4"/>
                <c:pt idx="0">
                  <c:v>20</c:v>
                </c:pt>
                <c:pt idx="1">
                  <c:v>19</c:v>
                </c:pt>
                <c:pt idx="2">
                  <c:v>2</c:v>
                </c:pt>
                <c:pt idx="3">
                  <c:v>14</c:v>
                </c:pt>
              </c:numCache>
            </c:numRef>
          </c:val>
          <c:extLst>
            <c:ext xmlns:c16="http://schemas.microsoft.com/office/drawing/2014/chart" uri="{C3380CC4-5D6E-409C-BE32-E72D297353CC}">
              <c16:uniqueId val="{00000003-6281-4F05-A880-68FDBE0EBD67}"/>
            </c:ext>
          </c:extLst>
        </c:ser>
        <c:ser>
          <c:idx val="4"/>
          <c:order val="4"/>
          <c:tx>
            <c:strRef>
              <c:f>'14-فض الإقرارات للفحص'!$A$18</c:f>
              <c:strCache>
                <c:ptCount val="1"/>
                <c:pt idx="0">
                  <c:v>فحص بطلب من نيابة الفساد</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للفحص'!$B$18:$E$18</c:f>
              <c:numCache>
                <c:formatCode>General</c:formatCode>
                <c:ptCount val="4"/>
                <c:pt idx="0">
                  <c:v>0</c:v>
                </c:pt>
                <c:pt idx="1">
                  <c:v>0</c:v>
                </c:pt>
                <c:pt idx="2">
                  <c:v>0</c:v>
                </c:pt>
                <c:pt idx="3">
                  <c:v>6</c:v>
                </c:pt>
              </c:numCache>
            </c:numRef>
          </c:val>
          <c:extLst>
            <c:ext xmlns:c16="http://schemas.microsoft.com/office/drawing/2014/chart" uri="{C3380CC4-5D6E-409C-BE32-E72D297353CC}">
              <c16:uniqueId val="{00000004-6281-4F05-A880-68FDBE0EBD67}"/>
            </c:ext>
          </c:extLst>
        </c:ser>
        <c:ser>
          <c:idx val="5"/>
          <c:order val="5"/>
          <c:tx>
            <c:strRef>
              <c:f>'14-فض الإقرارات للفحص'!$A$19</c:f>
              <c:strCache>
                <c:ptCount val="1"/>
                <c:pt idx="0">
                  <c:v>عدد الذكور</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للفحص'!$B$19:$E$19</c:f>
              <c:numCache>
                <c:formatCode>General</c:formatCode>
                <c:ptCount val="4"/>
                <c:pt idx="0">
                  <c:v>24</c:v>
                </c:pt>
                <c:pt idx="1">
                  <c:v>19</c:v>
                </c:pt>
                <c:pt idx="2">
                  <c:v>3</c:v>
                </c:pt>
                <c:pt idx="3">
                  <c:v>39</c:v>
                </c:pt>
              </c:numCache>
            </c:numRef>
          </c:val>
          <c:extLst>
            <c:ext xmlns:c16="http://schemas.microsoft.com/office/drawing/2014/chart" uri="{C3380CC4-5D6E-409C-BE32-E72D297353CC}">
              <c16:uniqueId val="{00000005-6281-4F05-A880-68FDBE0EBD67}"/>
            </c:ext>
          </c:extLst>
        </c:ser>
        <c:ser>
          <c:idx val="6"/>
          <c:order val="6"/>
          <c:tx>
            <c:strRef>
              <c:f>'14-فض الإقرارات للفحص'!$A$20</c:f>
              <c:strCache>
                <c:ptCount val="1"/>
                <c:pt idx="0">
                  <c:v>عدد الإناث</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'14-فض الإقرارات للفحص'!$B$13:$E$13</c:f>
              <c:strCache>
                <c:ptCount val="4"/>
                <c:pt idx="0">
                  <c:v>2022</c:v>
                </c:pt>
                <c:pt idx="1">
                  <c:v>2023</c:v>
                </c:pt>
                <c:pt idx="2">
                  <c:v>2024</c:v>
                </c:pt>
                <c:pt idx="3">
                  <c:v>2025</c:v>
                </c:pt>
              </c:strCache>
            </c:strRef>
          </c:cat>
          <c:val>
            <c:numRef>
              <c:f>'14-فض الإقرارات للفحص'!$B$20:$E$20</c:f>
              <c:numCache>
                <c:formatCode>General</c:formatCode>
                <c:ptCount val="4"/>
                <c:pt idx="0">
                  <c:v>6</c:v>
                </c:pt>
                <c:pt idx="1">
                  <c:v>2</c:v>
                </c:pt>
                <c:pt idx="2">
                  <c:v>0</c:v>
                </c:pt>
                <c:pt idx="3">
                  <c:v>10</c:v>
                </c:pt>
              </c:numCache>
            </c:numRef>
          </c:val>
          <c:extLst>
            <c:ext xmlns:c16="http://schemas.microsoft.com/office/drawing/2014/chart" uri="{C3380CC4-5D6E-409C-BE32-E72D297353CC}">
              <c16:uniqueId val="{00000006-6281-4F05-A880-68FDBE0EBD67}"/>
            </c:ext>
          </c:extLst>
        </c:ser>
        <c:dLbls>
          <c:showLegendKey val="0"/>
          <c:showVal val="0"/>
          <c:showCatName val="0"/>
          <c:showSerName val="0"/>
          <c:showPercent val="0"/>
          <c:showBubbleSize val="0"/>
        </c:dLbls>
        <c:gapWidth val="150"/>
        <c:axId val="69969576"/>
        <c:axId val="72466178"/>
      </c:barChart>
      <c:catAx>
        <c:axId val="6996957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466178"/>
        <c:crosses val="autoZero"/>
        <c:auto val="1"/>
        <c:lblAlgn val="ctr"/>
        <c:lblOffset val="100"/>
        <c:noMultiLvlLbl val="0"/>
      </c:catAx>
      <c:valAx>
        <c:axId val="72466178"/>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99695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15. عدد طلبات الحماية الواردة للهيئة</a:t>
            </a:r>
          </a:p>
        </c:rich>
      </c:tx>
      <c:overlay val="0"/>
      <c:spPr>
        <a:noFill/>
        <a:ln w="0">
          <a:noFill/>
        </a:ln>
      </c:spPr>
    </c:title>
    <c:autoTitleDeleted val="0"/>
    <c:plotArea>
      <c:layout/>
      <c:barChart>
        <c:barDir val="col"/>
        <c:grouping val="clustered"/>
        <c:varyColors val="0"/>
        <c:ser>
          <c:idx val="0"/>
          <c:order val="0"/>
          <c:tx>
            <c:strRef>
              <c:f>'15-طلبات الحماية الواردة'!$A$5</c:f>
              <c:strCache>
                <c:ptCount val="1"/>
                <c:pt idx="0">
                  <c:v>عدد طلبات الحماية - ذكور</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'15-طلبات الحماية الواردة'!$B$4:$E$4</c:f>
              <c:strCache>
                <c:ptCount val="4"/>
                <c:pt idx="0">
                  <c:v>2022</c:v>
                </c:pt>
                <c:pt idx="1">
                  <c:v>2023</c:v>
                </c:pt>
                <c:pt idx="2">
                  <c:v>24</c:v>
                </c:pt>
                <c:pt idx="3">
                  <c:v>2025</c:v>
                </c:pt>
              </c:strCache>
            </c:strRef>
          </c:cat>
          <c:val>
            <c:numRef>
              <c:f>'15-طلبات الحماية الواردة'!$B$5:$E$5</c:f>
              <c:numCache>
                <c:formatCode>General</c:formatCode>
                <c:ptCount val="4"/>
                <c:pt idx="0">
                  <c:v>21</c:v>
                </c:pt>
                <c:pt idx="1">
                  <c:v>12</c:v>
                </c:pt>
                <c:pt idx="2">
                  <c:v>26</c:v>
                </c:pt>
                <c:pt idx="3">
                  <c:v>22</c:v>
                </c:pt>
              </c:numCache>
            </c:numRef>
          </c:val>
          <c:extLst>
            <c:ext xmlns:c16="http://schemas.microsoft.com/office/drawing/2014/chart" uri="{C3380CC4-5D6E-409C-BE32-E72D297353CC}">
              <c16:uniqueId val="{00000000-E23E-4E9A-BA0C-0DDA803A62B6}"/>
            </c:ext>
          </c:extLst>
        </c:ser>
        <c:ser>
          <c:idx val="1"/>
          <c:order val="1"/>
          <c:tx>
            <c:strRef>
              <c:f>'15-طلبات الحماية الواردة'!$A$6</c:f>
              <c:strCache>
                <c:ptCount val="1"/>
                <c:pt idx="0">
                  <c:v>عدد طلبات الحماية - إناث</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'15-طلبات الحماية الواردة'!$B$4:$E$4</c:f>
              <c:strCache>
                <c:ptCount val="4"/>
                <c:pt idx="0">
                  <c:v>2022</c:v>
                </c:pt>
                <c:pt idx="1">
                  <c:v>2023</c:v>
                </c:pt>
                <c:pt idx="2">
                  <c:v>24</c:v>
                </c:pt>
                <c:pt idx="3">
                  <c:v>2025</c:v>
                </c:pt>
              </c:strCache>
            </c:strRef>
          </c:cat>
          <c:val>
            <c:numRef>
              <c:f>'15-طلبات الحماية الواردة'!$B$6:$E$6</c:f>
              <c:numCache>
                <c:formatCode>General</c:formatCode>
                <c:ptCount val="4"/>
                <c:pt idx="0">
                  <c:v>32</c:v>
                </c:pt>
                <c:pt idx="1">
                  <c:v>15</c:v>
                </c:pt>
                <c:pt idx="2">
                  <c:v>26</c:v>
                </c:pt>
                <c:pt idx="3">
                  <c:v>28</c:v>
                </c:pt>
              </c:numCache>
            </c:numRef>
          </c:val>
          <c:extLst>
            <c:ext xmlns:c16="http://schemas.microsoft.com/office/drawing/2014/chart" uri="{C3380CC4-5D6E-409C-BE32-E72D297353CC}">
              <c16:uniqueId val="{00000001-E23E-4E9A-BA0C-0DDA803A62B6}"/>
            </c:ext>
          </c:extLst>
        </c:ser>
        <c:dLbls>
          <c:showLegendKey val="0"/>
          <c:showVal val="0"/>
          <c:showCatName val="0"/>
          <c:showSerName val="0"/>
          <c:showPercent val="0"/>
          <c:showBubbleSize val="0"/>
        </c:dLbls>
        <c:gapWidth val="150"/>
        <c:axId val="2622891"/>
        <c:axId val="21050795"/>
      </c:barChart>
      <c:catAx>
        <c:axId val="262289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050795"/>
        <c:crosses val="autoZero"/>
        <c:auto val="1"/>
        <c:lblAlgn val="ctr"/>
        <c:lblOffset val="100"/>
        <c:noMultiLvlLbl val="0"/>
      </c:catAx>
      <c:valAx>
        <c:axId val="2105079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2289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15ب. طلبات الحماية الواردة حسب نوع الحماية والنتيجة</a:t>
            </a:r>
          </a:p>
        </c:rich>
      </c:tx>
      <c:overlay val="0"/>
      <c:spPr>
        <a:noFill/>
        <a:ln w="0">
          <a:noFill/>
        </a:ln>
      </c:spPr>
    </c:title>
    <c:autoTitleDeleted val="0"/>
    <c:plotArea>
      <c:layout/>
      <c:barChart>
        <c:barDir val="col"/>
        <c:grouping val="clustered"/>
        <c:varyColors val="0"/>
        <c:ser>
          <c:idx val="0"/>
          <c:order val="0"/>
          <c:tx>
            <c:strRef>
              <c:f>'15ب-حسب النوع والنتيجة'!$A$20</c:f>
              <c:strCache>
                <c:ptCount val="1"/>
                <c:pt idx="0">
                  <c:v>سنة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'15ب-حسب النوع والنتيجة'!$A$21:$A$24</c:f>
              <c:numCache>
                <c:formatCode>General</c:formatCode>
                <c:ptCount val="4"/>
                <c:pt idx="0">
                  <c:v>2022</c:v>
                </c:pt>
                <c:pt idx="1">
                  <c:v>2023</c:v>
                </c:pt>
                <c:pt idx="2">
                  <c:v>2024</c:v>
                </c:pt>
                <c:pt idx="3">
                  <c:v>2025</c:v>
                </c:pt>
              </c:numCache>
            </c:numRef>
          </c:cat>
          <c:val>
            <c:numRef>
              <c:f>'15ب-حسب النوع والنتيجة'!$A$21:$A$24</c:f>
              <c:numCache>
                <c:formatCode>General</c:formatCode>
                <c:ptCount val="4"/>
                <c:pt idx="0">
                  <c:v>2022</c:v>
                </c:pt>
                <c:pt idx="1">
                  <c:v>2023</c:v>
                </c:pt>
                <c:pt idx="2">
                  <c:v>2024</c:v>
                </c:pt>
                <c:pt idx="3">
                  <c:v>2025</c:v>
                </c:pt>
              </c:numCache>
            </c:numRef>
          </c:val>
          <c:extLst>
            <c:ext xmlns:c16="http://schemas.microsoft.com/office/drawing/2014/chart" uri="{C3380CC4-5D6E-409C-BE32-E72D297353CC}">
              <c16:uniqueId val="{00000000-F419-4CDA-B114-6DCB1C568E89}"/>
            </c:ext>
          </c:extLst>
        </c:ser>
        <c:ser>
          <c:idx val="1"/>
          <c:order val="1"/>
          <c:tx>
            <c:strRef>
              <c:f>'15ب-حسب النوع والنتيجة'!$B$20</c:f>
              <c:strCache>
                <c:ptCount val="1"/>
                <c:pt idx="0">
                  <c:v>حماية وظيفية (رفض)</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'15ب-حسب النوع والنتيجة'!$A$21:$A$24</c:f>
              <c:numCache>
                <c:formatCode>General</c:formatCode>
                <c:ptCount val="4"/>
                <c:pt idx="0">
                  <c:v>2022</c:v>
                </c:pt>
                <c:pt idx="1">
                  <c:v>2023</c:v>
                </c:pt>
                <c:pt idx="2">
                  <c:v>2024</c:v>
                </c:pt>
                <c:pt idx="3">
                  <c:v>2025</c:v>
                </c:pt>
              </c:numCache>
            </c:numRef>
          </c:cat>
          <c:val>
            <c:numRef>
              <c:f>'15ب-حسب النوع والنتيجة'!$B$21:$B$24</c:f>
              <c:numCache>
                <c:formatCode>General</c:formatCode>
                <c:ptCount val="4"/>
                <c:pt idx="0">
                  <c:v>2</c:v>
                </c:pt>
                <c:pt idx="1">
                  <c:v>0</c:v>
                </c:pt>
                <c:pt idx="2">
                  <c:v>2</c:v>
                </c:pt>
                <c:pt idx="3">
                  <c:v>3</c:v>
                </c:pt>
              </c:numCache>
            </c:numRef>
          </c:val>
          <c:extLst>
            <c:ext xmlns:c16="http://schemas.microsoft.com/office/drawing/2014/chart" uri="{C3380CC4-5D6E-409C-BE32-E72D297353CC}">
              <c16:uniqueId val="{00000001-F419-4CDA-B114-6DCB1C568E89}"/>
            </c:ext>
          </c:extLst>
        </c:ser>
        <c:ser>
          <c:idx val="2"/>
          <c:order val="2"/>
          <c:tx>
            <c:strRef>
              <c:f>'15ب-حسب النوع والنتيجة'!$C$20</c:f>
              <c:strCache>
                <c:ptCount val="1"/>
                <c:pt idx="0">
                  <c:v>حماية شخصية (رفض)</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'15ب-حسب النوع والنتيجة'!$A$21:$A$24</c:f>
              <c:numCache>
                <c:formatCode>General</c:formatCode>
                <c:ptCount val="4"/>
                <c:pt idx="0">
                  <c:v>2022</c:v>
                </c:pt>
                <c:pt idx="1">
                  <c:v>2023</c:v>
                </c:pt>
                <c:pt idx="2">
                  <c:v>2024</c:v>
                </c:pt>
                <c:pt idx="3">
                  <c:v>2025</c:v>
                </c:pt>
              </c:numCache>
            </c:numRef>
          </c:cat>
          <c:val>
            <c:numRef>
              <c:f>'15ب-حسب النوع والنتيجة'!$C$21:$C$24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2-F419-4CDA-B114-6DCB1C568E89}"/>
            </c:ext>
          </c:extLst>
        </c:ser>
        <c:ser>
          <c:idx val="3"/>
          <c:order val="3"/>
          <c:tx>
            <c:strRef>
              <c:f>'15ب-حسب النوع والنتيجة'!$D$20</c:f>
              <c:strCache>
                <c:ptCount val="1"/>
                <c:pt idx="0">
                  <c:v>حماية قانونية (رفض)</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'15ب-حسب النوع والنتيجة'!$A$21:$A$24</c:f>
              <c:numCache>
                <c:formatCode>General</c:formatCode>
                <c:ptCount val="4"/>
                <c:pt idx="0">
                  <c:v>2022</c:v>
                </c:pt>
                <c:pt idx="1">
                  <c:v>2023</c:v>
                </c:pt>
                <c:pt idx="2">
                  <c:v>2024</c:v>
                </c:pt>
                <c:pt idx="3">
                  <c:v>2025</c:v>
                </c:pt>
              </c:numCache>
            </c:numRef>
          </c:cat>
          <c:val>
            <c:numRef>
              <c:f>'15ب-حسب النوع والنتيجة'!$D$21:$D$24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F419-4CDA-B114-6DCB1C568E89}"/>
            </c:ext>
          </c:extLst>
        </c:ser>
        <c:dLbls>
          <c:showLegendKey val="0"/>
          <c:showVal val="0"/>
          <c:showCatName val="0"/>
          <c:showSerName val="0"/>
          <c:showPercent val="0"/>
          <c:showBubbleSize val="0"/>
        </c:dLbls>
        <c:gapWidth val="150"/>
        <c:axId val="20135391"/>
        <c:axId val="40845113"/>
      </c:barChart>
      <c:catAx>
        <c:axId val="2013539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845113"/>
        <c:crosses val="autoZero"/>
        <c:auto val="1"/>
        <c:lblAlgn val="ctr"/>
        <c:lblOffset val="100"/>
        <c:noMultiLvlLbl val="0"/>
      </c:catAx>
      <c:valAx>
        <c:axId val="40845113"/>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13539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15ج. طلبات الحماية الواردة حسب الجهة المطلوب الحماية منها</a:t>
            </a:r>
          </a:p>
        </c:rich>
      </c:tx>
      <c:overlay val="0"/>
      <c:spPr>
        <a:noFill/>
        <a:ln w="0">
          <a:noFill/>
        </a:ln>
      </c:spPr>
    </c:title>
    <c:autoTitleDeleted val="0"/>
    <c:plotArea>
      <c:layout/>
      <c:barChart>
        <c:barDir val="col"/>
        <c:grouping val="clustered"/>
        <c:varyColors val="0"/>
        <c:ser>
          <c:idx val="0"/>
          <c:order val="0"/>
          <c:tx>
            <c:strRef>
              <c:f>'15ج-حسب جهة الحماية'!$A$5</c:f>
              <c:strCache>
                <c:ptCount val="1"/>
                <c:pt idx="0">
                  <c:v>وزارات أو هيئات رسمية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الحماية'!$B$5:$E$5</c:f>
              <c:numCache>
                <c:formatCode>General</c:formatCode>
                <c:ptCount val="4"/>
                <c:pt idx="0">
                  <c:v>0</c:v>
                </c:pt>
                <c:pt idx="1">
                  <c:v>5</c:v>
                </c:pt>
                <c:pt idx="2">
                  <c:v>0</c:v>
                </c:pt>
                <c:pt idx="3">
                  <c:v>0</c:v>
                </c:pt>
              </c:numCache>
            </c:numRef>
          </c:val>
          <c:extLst>
            <c:ext xmlns:c16="http://schemas.microsoft.com/office/drawing/2014/chart" uri="{C3380CC4-5D6E-409C-BE32-E72D297353CC}">
              <c16:uniqueId val="{00000000-1333-4A0D-8D36-A69B3236E4D8}"/>
            </c:ext>
          </c:extLst>
        </c:ser>
        <c:ser>
          <c:idx val="1"/>
          <c:order val="1"/>
          <c:tx>
            <c:strRef>
              <c:f>'15ج-حسب جهة الحماية'!$A$6</c:f>
              <c:strCache>
                <c:ptCount val="1"/>
                <c:pt idx="0">
                  <c:v>أجهزة ومؤسسات أمنية</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الحماية'!$B$6:$E$6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1333-4A0D-8D36-A69B3236E4D8}"/>
            </c:ext>
          </c:extLst>
        </c:ser>
        <c:ser>
          <c:idx val="2"/>
          <c:order val="2"/>
          <c:tx>
            <c:strRef>
              <c:f>'15ج-حسب جهة الحماية'!$A$7</c:f>
              <c:strCache>
                <c:ptCount val="1"/>
                <c:pt idx="0">
                  <c:v>جمعيات</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الحماية'!$B$7:$E$7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1333-4A0D-8D36-A69B3236E4D8}"/>
            </c:ext>
          </c:extLst>
        </c:ser>
        <c:ser>
          <c:idx val="3"/>
          <c:order val="3"/>
          <c:tx>
            <c:strRef>
              <c:f>'15ج-حسب جهة الحماية'!$A$8</c:f>
              <c:strCache>
                <c:ptCount val="1"/>
                <c:pt idx="0">
                  <c:v>هيئات محلية</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الحماية'!$B$8:$E$8</c:f>
              <c:numCache>
                <c:formatCode>General</c:formatCode>
                <c:ptCount val="4"/>
                <c:pt idx="0">
                  <c:v>0</c:v>
                </c:pt>
                <c:pt idx="1">
                  <c:v>5</c:v>
                </c:pt>
                <c:pt idx="2">
                  <c:v>0</c:v>
                </c:pt>
                <c:pt idx="3">
                  <c:v>0</c:v>
                </c:pt>
              </c:numCache>
            </c:numRef>
          </c:val>
          <c:extLst>
            <c:ext xmlns:c16="http://schemas.microsoft.com/office/drawing/2014/chart" uri="{C3380CC4-5D6E-409C-BE32-E72D297353CC}">
              <c16:uniqueId val="{00000003-1333-4A0D-8D36-A69B3236E4D8}"/>
            </c:ext>
          </c:extLst>
        </c:ser>
        <c:ser>
          <c:idx val="4"/>
          <c:order val="4"/>
          <c:tx>
            <c:strRef>
              <c:f>'15ج-حسب جهة الحماية'!$A$9</c:f>
              <c:strCache>
                <c:ptCount val="1"/>
                <c:pt idx="0">
                  <c:v>شركات</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الحماية'!$B$9:$E$9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1333-4A0D-8D36-A69B3236E4D8}"/>
            </c:ext>
          </c:extLst>
        </c:ser>
        <c:ser>
          <c:idx val="5"/>
          <c:order val="5"/>
          <c:tx>
            <c:strRef>
              <c:f>'15ج-حسب جهة الحماية'!$A$10</c:f>
              <c:strCache>
                <c:ptCount val="1"/>
                <c:pt idx="0">
                  <c:v>أفراد</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الحماية'!$B$10:$E$10</c:f>
              <c:numCache>
                <c:formatCode>General</c:formatCode>
                <c:ptCount val="4"/>
                <c:pt idx="0">
                  <c:v>0</c:v>
                </c:pt>
                <c:pt idx="1">
                  <c:v>3</c:v>
                </c:pt>
                <c:pt idx="2">
                  <c:v>0</c:v>
                </c:pt>
                <c:pt idx="3">
                  <c:v>0</c:v>
                </c:pt>
              </c:numCache>
            </c:numRef>
          </c:val>
          <c:extLst>
            <c:ext xmlns:c16="http://schemas.microsoft.com/office/drawing/2014/chart" uri="{C3380CC4-5D6E-409C-BE32-E72D297353CC}">
              <c16:uniqueId val="{00000005-1333-4A0D-8D36-A69B3236E4D8}"/>
            </c:ext>
          </c:extLst>
        </c:ser>
        <c:ser>
          <c:idx val="6"/>
          <c:order val="6"/>
          <c:tx>
            <c:strRef>
              <c:f>'15ج-حسب جهة الحماية'!$A$11</c:f>
              <c:strCache>
                <c:ptCount val="1"/>
                <c:pt idx="0">
                  <c:v>نقابات</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الحماية'!$B$11:$E$11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6-1333-4A0D-8D36-A69B3236E4D8}"/>
            </c:ext>
          </c:extLst>
        </c:ser>
        <c:ser>
          <c:idx val="7"/>
          <c:order val="7"/>
          <c:tx>
            <c:strRef>
              <c:f>'15ج-حسب جهة الحماية'!$A$12</c:f>
              <c:strCache>
                <c:ptCount val="1"/>
                <c:pt idx="0">
                  <c:v>أخرى</c:v>
                </c:pt>
              </c:strCache>
            </c:strRef>
          </c:tx>
          <c:spPr>
            <a:solidFill>
              <a:srgbClr val="D0949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'15ج-حسب جهة الحماية'!$B$4:$E$4</c:f>
              <c:strCache>
                <c:ptCount val="4"/>
                <c:pt idx="0">
                  <c:v>2022</c:v>
                </c:pt>
                <c:pt idx="1">
                  <c:v>2023</c:v>
                </c:pt>
                <c:pt idx="2">
                  <c:v>2024</c:v>
                </c:pt>
                <c:pt idx="3">
                  <c:v>2025</c:v>
                </c:pt>
              </c:strCache>
            </c:strRef>
          </c:cat>
          <c:val>
            <c:numRef>
              <c:f>'15ج-حسب جهة الحماية'!$B$12:$E$12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7-1333-4A0D-8D36-A69B3236E4D8}"/>
            </c:ext>
          </c:extLst>
        </c:ser>
        <c:dLbls>
          <c:showLegendKey val="0"/>
          <c:showVal val="0"/>
          <c:showCatName val="0"/>
          <c:showSerName val="0"/>
          <c:showPercent val="0"/>
          <c:showBubbleSize val="0"/>
        </c:dLbls>
        <c:gapWidth val="150"/>
        <c:axId val="89709080"/>
        <c:axId val="12919561"/>
      </c:barChart>
      <c:catAx>
        <c:axId val="8970908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919561"/>
        <c:crosses val="autoZero"/>
        <c:auto val="1"/>
        <c:lblAlgn val="ctr"/>
        <c:lblOffset val="100"/>
        <c:noMultiLvlLbl val="0"/>
      </c:catAx>
      <c:valAx>
        <c:axId val="12919561"/>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7090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16. عدد طلبات التظلم على طلبات الحماية الواردة للهيئة</a:t>
            </a:r>
          </a:p>
        </c:rich>
      </c:tx>
      <c:overlay val="0"/>
      <c:spPr>
        <a:noFill/>
        <a:ln w="0">
          <a:noFill/>
        </a:ln>
      </c:spPr>
    </c:title>
    <c:autoTitleDeleted val="0"/>
    <c:plotArea>
      <c:layout/>
      <c:barChart>
        <c:barDir val="col"/>
        <c:grouping val="clustered"/>
        <c:varyColors val="0"/>
        <c:ser>
          <c:idx val="0"/>
          <c:order val="0"/>
          <c:tx>
            <c:strRef>
              <c:f>'16-طلبات التظلم'!$A$5</c:f>
              <c:strCache>
                <c:ptCount val="1"/>
                <c:pt idx="0">
                  <c:v>عدد طلبات التظلم</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'16-طلبات التظلم'!$B$4:$E$4</c:f>
              <c:strCache>
                <c:ptCount val="4"/>
                <c:pt idx="0">
                  <c:v>2022</c:v>
                </c:pt>
                <c:pt idx="1">
                  <c:v>2023</c:v>
                </c:pt>
                <c:pt idx="2">
                  <c:v>2024</c:v>
                </c:pt>
                <c:pt idx="3">
                  <c:v>2025</c:v>
                </c:pt>
              </c:strCache>
            </c:strRef>
          </c:cat>
          <c:val>
            <c:numRef>
              <c:f>'16-طلبات التظلم'!$B$5:$E$5</c:f>
              <c:numCache>
                <c:formatCode>General</c:formatCode>
                <c:ptCount val="4"/>
                <c:pt idx="0">
                  <c:v>4</c:v>
                </c:pt>
                <c:pt idx="1">
                  <c:v>0</c:v>
                </c:pt>
                <c:pt idx="2">
                  <c:v>2</c:v>
                </c:pt>
                <c:pt idx="3">
                  <c:v>1</c:v>
                </c:pt>
              </c:numCache>
            </c:numRef>
          </c:val>
          <c:extLst>
            <c:ext xmlns:c16="http://schemas.microsoft.com/office/drawing/2014/chart" uri="{C3380CC4-5D6E-409C-BE32-E72D297353CC}">
              <c16:uniqueId val="{00000000-7782-4A60-B35E-34DB460BDF8F}"/>
            </c:ext>
          </c:extLst>
        </c:ser>
        <c:ser>
          <c:idx val="1"/>
          <c:order val="1"/>
          <c:tx>
            <c:strRef>
              <c:f>'16-طلبات التظلم'!$A$6</c:f>
              <c:strCache>
                <c:ptCount val="1"/>
                <c:pt idx="0">
                  <c:v>منها: قبول</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'16-طلبات التظلم'!$B$4:$E$4</c:f>
              <c:strCache>
                <c:ptCount val="4"/>
                <c:pt idx="0">
                  <c:v>2022</c:v>
                </c:pt>
                <c:pt idx="1">
                  <c:v>2023</c:v>
                </c:pt>
                <c:pt idx="2">
                  <c:v>2024</c:v>
                </c:pt>
                <c:pt idx="3">
                  <c:v>2025</c:v>
                </c:pt>
              </c:strCache>
            </c:strRef>
          </c:cat>
          <c:val>
            <c:numRef>
              <c:f>'16-طلبات التظلم'!$B$6:$E$6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1-7782-4A60-B35E-34DB460BDF8F}"/>
            </c:ext>
          </c:extLst>
        </c:ser>
        <c:ser>
          <c:idx val="2"/>
          <c:order val="2"/>
          <c:tx>
            <c:strRef>
              <c:f>'16-طلبات التظلم'!$A$7</c:f>
              <c:strCache>
                <c:ptCount val="1"/>
                <c:pt idx="0">
                  <c:v>منها: رفض                                                                       </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'16-طلبات التظلم'!$B$4:$E$4</c:f>
              <c:strCache>
                <c:ptCount val="4"/>
                <c:pt idx="0">
                  <c:v>2022</c:v>
                </c:pt>
                <c:pt idx="1">
                  <c:v>2023</c:v>
                </c:pt>
                <c:pt idx="2">
                  <c:v>2024</c:v>
                </c:pt>
                <c:pt idx="3">
                  <c:v>2025</c:v>
                </c:pt>
              </c:strCache>
            </c:strRef>
          </c:cat>
          <c:val>
            <c:numRef>
              <c:f>'16-طلبات التظلم'!$B$7:$E$7</c:f>
              <c:numCache>
                <c:formatCode>General</c:formatCode>
                <c:ptCount val="4"/>
                <c:pt idx="0">
                  <c:v>3</c:v>
                </c:pt>
                <c:pt idx="1">
                  <c:v>0</c:v>
                </c:pt>
                <c:pt idx="2">
                  <c:v>2</c:v>
                </c:pt>
                <c:pt idx="3">
                  <c:v>1</c:v>
                </c:pt>
              </c:numCache>
            </c:numRef>
          </c:val>
          <c:extLst>
            <c:ext xmlns:c16="http://schemas.microsoft.com/office/drawing/2014/chart" uri="{C3380CC4-5D6E-409C-BE32-E72D297353CC}">
              <c16:uniqueId val="{00000002-7782-4A60-B35E-34DB460BDF8F}"/>
            </c:ext>
          </c:extLst>
        </c:ser>
        <c:dLbls>
          <c:showLegendKey val="0"/>
          <c:showVal val="0"/>
          <c:showCatName val="0"/>
          <c:showSerName val="0"/>
          <c:showPercent val="0"/>
          <c:showBubbleSize val="0"/>
        </c:dLbls>
        <c:gapWidth val="150"/>
        <c:axId val="2308600"/>
        <c:axId val="3982750"/>
      </c:barChart>
      <c:catAx>
        <c:axId val="230860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82750"/>
        <c:crosses val="autoZero"/>
        <c:auto val="1"/>
        <c:lblAlgn val="ctr"/>
        <c:lblOffset val="100"/>
        <c:noMultiLvlLbl val="0"/>
      </c:catAx>
      <c:valAx>
        <c:axId val="398275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3086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20. توزيع الملفات التحقيقية الواردة حسب القطاع (الجهة)</a:t>
            </a:r>
          </a:p>
        </c:rich>
      </c:tx>
      <c:overlay val="0"/>
      <c:spPr>
        <a:noFill/>
        <a:ln w="0">
          <a:noFill/>
        </a:ln>
      </c:spPr>
    </c:title>
    <c:autoTitleDeleted val="0"/>
    <c:plotArea>
      <c:layout/>
      <c:barChart>
        <c:barDir val="col"/>
        <c:grouping val="clustered"/>
        <c:varyColors val="0"/>
        <c:ser>
          <c:idx val="0"/>
          <c:order val="0"/>
          <c:tx>
            <c:strRef>
              <c:f>'20-الواردة حسب القطاع'!$A$5</c:f>
              <c:strCache>
                <c:ptCount val="1"/>
                <c:pt idx="0">
                  <c:v>قطاع عام/وزارات ومؤسسات وزارية</c:v>
                </c:pt>
              </c:strCache>
            </c:strRef>
          </c:tx>
          <c:spPr>
            <a:solidFill>
              <a:srgbClr val="3E659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القطاع'!$B$5:$E$5</c:f>
              <c:numCache>
                <c:formatCode>General</c:formatCode>
                <c:ptCount val="4"/>
                <c:pt idx="0">
                  <c:v>130</c:v>
                </c:pt>
                <c:pt idx="1">
                  <c:v>89</c:v>
                </c:pt>
                <c:pt idx="2">
                  <c:v>0</c:v>
                </c:pt>
                <c:pt idx="3">
                  <c:v>0</c:v>
                </c:pt>
              </c:numCache>
            </c:numRef>
          </c:val>
          <c:extLst>
            <c:ext xmlns:c16="http://schemas.microsoft.com/office/drawing/2014/chart" uri="{C3380CC4-5D6E-409C-BE32-E72D297353CC}">
              <c16:uniqueId val="{00000000-73A5-4136-93FF-5976F0110ACD}"/>
            </c:ext>
          </c:extLst>
        </c:ser>
        <c:ser>
          <c:idx val="1"/>
          <c:order val="1"/>
          <c:tx>
            <c:strRef>
              <c:f>'20-الواردة حسب القطاع'!$A$6</c:f>
              <c:strCache>
                <c:ptCount val="1"/>
                <c:pt idx="0">
                  <c:v>القطاع العام (مجمّع)</c:v>
                </c:pt>
              </c:strCache>
            </c:strRef>
          </c:tx>
          <c:spPr>
            <a:solidFill>
              <a:srgbClr val="973F3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القطاع'!$B$6:$E$6</c:f>
              <c:numCache>
                <c:formatCode>General</c:formatCode>
                <c:ptCount val="4"/>
                <c:pt idx="0">
                  <c:v>0</c:v>
                </c:pt>
                <c:pt idx="1">
                  <c:v>0</c:v>
                </c:pt>
                <c:pt idx="2">
                  <c:v>63</c:v>
                </c:pt>
                <c:pt idx="3">
                  <c:v>93</c:v>
                </c:pt>
              </c:numCache>
            </c:numRef>
          </c:val>
          <c:extLst>
            <c:ext xmlns:c16="http://schemas.microsoft.com/office/drawing/2014/chart" uri="{C3380CC4-5D6E-409C-BE32-E72D297353CC}">
              <c16:uniqueId val="{00000001-73A5-4136-93FF-5976F0110ACD}"/>
            </c:ext>
          </c:extLst>
        </c:ser>
        <c:ser>
          <c:idx val="2"/>
          <c:order val="2"/>
          <c:tx>
            <c:strRef>
              <c:f>'20-الواردة حسب القطاع'!$A$7</c:f>
              <c:strCache>
                <c:ptCount val="1"/>
                <c:pt idx="0">
                  <c:v>قطاع عام/مؤسسة غير وزارية</c:v>
                </c:pt>
              </c:strCache>
            </c:strRef>
          </c:tx>
          <c:spPr>
            <a:solidFill>
              <a:srgbClr val="7A93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القطاع'!$B$7:$E$7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2-73A5-4136-93FF-5976F0110ACD}"/>
            </c:ext>
          </c:extLst>
        </c:ser>
        <c:ser>
          <c:idx val="3"/>
          <c:order val="3"/>
          <c:tx>
            <c:strRef>
              <c:f>'20-الواردة حسب القطاع'!$A$8</c:f>
              <c:strCache>
                <c:ptCount val="1"/>
                <c:pt idx="0">
                  <c:v>قطاع عام/مؤسسة تعليمية</c:v>
                </c:pt>
              </c:strCache>
            </c:strRef>
          </c:tx>
          <c:spPr>
            <a:solidFill>
              <a:srgbClr val="654E7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القطاع'!$B$8:$E$8</c:f>
              <c:numCache>
                <c:formatCode>General</c:formatCode>
                <c:ptCount val="4"/>
                <c:pt idx="0">
                  <c:v>1</c:v>
                </c:pt>
                <c:pt idx="1">
                  <c:v>0</c:v>
                </c:pt>
                <c:pt idx="2">
                  <c:v>3</c:v>
                </c:pt>
                <c:pt idx="3">
                  <c:v>0</c:v>
                </c:pt>
              </c:numCache>
            </c:numRef>
          </c:val>
          <c:extLst>
            <c:ext xmlns:c16="http://schemas.microsoft.com/office/drawing/2014/chart" uri="{C3380CC4-5D6E-409C-BE32-E72D297353CC}">
              <c16:uniqueId val="{00000003-73A5-4136-93FF-5976F0110ACD}"/>
            </c:ext>
          </c:extLst>
        </c:ser>
        <c:ser>
          <c:idx val="4"/>
          <c:order val="4"/>
          <c:tx>
            <c:strRef>
              <c:f>'20-الواردة حسب القطاع'!$A$9</c:f>
              <c:strCache>
                <c:ptCount val="1"/>
                <c:pt idx="0">
                  <c:v>مؤسسة عامة</c:v>
                </c:pt>
              </c:strCache>
            </c:strRef>
          </c:tx>
          <c:spPr>
            <a:solidFill>
              <a:srgbClr val="3B87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القطاع'!$B$9:$E$9</c:f>
              <c:numCache>
                <c:formatCode>General</c:formatCode>
                <c:ptCount val="4"/>
                <c:pt idx="0">
                  <c:v>3</c:v>
                </c:pt>
                <c:pt idx="1">
                  <c:v>1</c:v>
                </c:pt>
                <c:pt idx="2">
                  <c:v>2</c:v>
                </c:pt>
                <c:pt idx="3">
                  <c:v>0</c:v>
                </c:pt>
              </c:numCache>
            </c:numRef>
          </c:val>
          <c:extLst>
            <c:ext xmlns:c16="http://schemas.microsoft.com/office/drawing/2014/chart" uri="{C3380CC4-5D6E-409C-BE32-E72D297353CC}">
              <c16:uniqueId val="{00000004-73A5-4136-93FF-5976F0110ACD}"/>
            </c:ext>
          </c:extLst>
        </c:ser>
        <c:ser>
          <c:idx val="5"/>
          <c:order val="5"/>
          <c:tx>
            <c:strRef>
              <c:f>'20-الواردة حسب القطاع'!$A$10</c:f>
              <c:strCache>
                <c:ptCount val="1"/>
                <c:pt idx="0">
                  <c:v>هيئات محلية</c:v>
                </c:pt>
              </c:strCache>
            </c:strRef>
          </c:tx>
          <c:spPr>
            <a:solidFill>
              <a:srgbClr val="C2763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القطاع'!$B$10:$E$10</c:f>
              <c:numCache>
                <c:formatCode>General</c:formatCode>
                <c:ptCount val="4"/>
                <c:pt idx="0">
                  <c:v>84</c:v>
                </c:pt>
                <c:pt idx="1">
                  <c:v>78</c:v>
                </c:pt>
                <c:pt idx="2">
                  <c:v>63</c:v>
                </c:pt>
                <c:pt idx="3">
                  <c:v>45</c:v>
                </c:pt>
              </c:numCache>
            </c:numRef>
          </c:val>
          <c:extLst>
            <c:ext xmlns:c16="http://schemas.microsoft.com/office/drawing/2014/chart" uri="{C3380CC4-5D6E-409C-BE32-E72D297353CC}">
              <c16:uniqueId val="{00000005-73A5-4136-93FF-5976F0110ACD}"/>
            </c:ext>
          </c:extLst>
        </c:ser>
        <c:ser>
          <c:idx val="6"/>
          <c:order val="6"/>
          <c:tx>
            <c:strRef>
              <c:f>'20-الواردة حسب القطاع'!$A$11</c:f>
              <c:strCache>
                <c:ptCount val="1"/>
                <c:pt idx="0">
                  <c:v>الجمعيات</c:v>
                </c:pt>
              </c:strCache>
            </c:strRef>
          </c:tx>
          <c:spPr>
            <a:solidFill>
              <a:srgbClr val="4978B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القطاع'!$B$11:$E$11</c:f>
              <c:numCache>
                <c:formatCode>General</c:formatCode>
                <c:ptCount val="4"/>
                <c:pt idx="0">
                  <c:v>9</c:v>
                </c:pt>
                <c:pt idx="1">
                  <c:v>13</c:v>
                </c:pt>
                <c:pt idx="2">
                  <c:v>7</c:v>
                </c:pt>
                <c:pt idx="3">
                  <c:v>13</c:v>
                </c:pt>
              </c:numCache>
            </c:numRef>
          </c:val>
          <c:extLst>
            <c:ext xmlns:c16="http://schemas.microsoft.com/office/drawing/2014/chart" uri="{C3380CC4-5D6E-409C-BE32-E72D297353CC}">
              <c16:uniqueId val="{00000006-73A5-4136-93FF-5976F0110ACD}"/>
            </c:ext>
          </c:extLst>
        </c:ser>
        <c:ser>
          <c:idx val="7"/>
          <c:order val="7"/>
          <c:tx>
            <c:strRef>
              <c:f>'20-الواردة حسب القطاع'!$A$12</c:f>
              <c:strCache>
                <c:ptCount val="1"/>
                <c:pt idx="0">
                  <c:v>محكمين</c:v>
                </c:pt>
              </c:strCache>
            </c:strRef>
          </c:tx>
          <c:spPr>
            <a:solidFill>
              <a:srgbClr val="B34A4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القطاع'!$B$12:$E$12</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07-73A5-4136-93FF-5976F0110ACD}"/>
            </c:ext>
          </c:extLst>
        </c:ser>
        <c:ser>
          <c:idx val="8"/>
          <c:order val="8"/>
          <c:tx>
            <c:strRef>
              <c:f>'20-الواردة حسب القطاع'!$A$13</c:f>
              <c:strCache>
                <c:ptCount val="1"/>
                <c:pt idx="0">
                  <c:v>شركة/شركات مساهمة عامة</c:v>
                </c:pt>
              </c:strCache>
            </c:strRef>
          </c:tx>
          <c:spPr>
            <a:solidFill>
              <a:srgbClr val="91AF5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القطاع'!$B$13:$E$13</c:f>
              <c:numCache>
                <c:formatCode>General</c:formatCode>
                <c:ptCount val="4"/>
                <c:pt idx="0">
                  <c:v>4</c:v>
                </c:pt>
                <c:pt idx="1">
                  <c:v>4</c:v>
                </c:pt>
                <c:pt idx="2">
                  <c:v>1</c:v>
                </c:pt>
                <c:pt idx="3">
                  <c:v>0</c:v>
                </c:pt>
              </c:numCache>
            </c:numRef>
          </c:val>
          <c:extLst>
            <c:ext xmlns:c16="http://schemas.microsoft.com/office/drawing/2014/chart" uri="{C3380CC4-5D6E-409C-BE32-E72D297353CC}">
              <c16:uniqueId val="{00000008-73A5-4136-93FF-5976F0110ACD}"/>
            </c:ext>
          </c:extLst>
        </c:ser>
        <c:ser>
          <c:idx val="9"/>
          <c:order val="9"/>
          <c:tx>
            <c:strRef>
              <c:f>'20-الواردة حسب القطاع'!$A$14</c:f>
              <c:strCache>
                <c:ptCount val="1"/>
                <c:pt idx="0">
                  <c:v>اتحادات ونقابات</c:v>
                </c:pt>
              </c:strCache>
            </c:strRef>
          </c:tx>
          <c:spPr>
            <a:solidFill>
              <a:srgbClr val="775D9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القطاع'!$B$14:$E$14</c:f>
              <c:numCache>
                <c:formatCode>General</c:formatCode>
                <c:ptCount val="4"/>
                <c:pt idx="0">
                  <c:v>6</c:v>
                </c:pt>
                <c:pt idx="1">
                  <c:v>4</c:v>
                </c:pt>
                <c:pt idx="2">
                  <c:v>3</c:v>
                </c:pt>
                <c:pt idx="3">
                  <c:v>6</c:v>
                </c:pt>
              </c:numCache>
            </c:numRef>
          </c:val>
          <c:extLst>
            <c:ext xmlns:c16="http://schemas.microsoft.com/office/drawing/2014/chart" uri="{C3380CC4-5D6E-409C-BE32-E72D297353CC}">
              <c16:uniqueId val="{00000009-73A5-4136-93FF-5976F0110ACD}"/>
            </c:ext>
          </c:extLst>
        </c:ser>
        <c:ser>
          <c:idx val="10"/>
          <c:order val="10"/>
          <c:tx>
            <c:strRef>
              <c:f>'20-الواردة حسب القطاع'!$A$15</c:f>
              <c:strCache>
                <c:ptCount val="1"/>
                <c:pt idx="0">
                  <c:v>أندية</c:v>
                </c:pt>
              </c:strCache>
            </c:strRef>
          </c:tx>
          <c:spPr>
            <a:solidFill>
              <a:srgbClr val="46A1B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القطاع'!$B$15:$E$15</c:f>
              <c:numCache>
                <c:formatCode>General</c:formatCode>
                <c:ptCount val="4"/>
                <c:pt idx="0">
                  <c:v>0</c:v>
                </c:pt>
                <c:pt idx="1">
                  <c:v>3</c:v>
                </c:pt>
                <c:pt idx="2">
                  <c:v>1</c:v>
                </c:pt>
                <c:pt idx="3">
                  <c:v>0</c:v>
                </c:pt>
              </c:numCache>
            </c:numRef>
          </c:val>
          <c:extLst>
            <c:ext xmlns:c16="http://schemas.microsoft.com/office/drawing/2014/chart" uri="{C3380CC4-5D6E-409C-BE32-E72D297353CC}">
              <c16:uniqueId val="{0000000A-73A5-4136-93FF-5976F0110ACD}"/>
            </c:ext>
          </c:extLst>
        </c:ser>
        <c:ser>
          <c:idx val="11"/>
          <c:order val="11"/>
          <c:tx>
            <c:strRef>
              <c:f>'20-الواردة حسب القطاع'!$A$16</c:f>
              <c:strCache>
                <c:ptCount val="1"/>
                <c:pt idx="0">
                  <c:v>هيئات أهلية</c:v>
                </c:pt>
              </c:strCache>
            </c:strRef>
          </c:tx>
          <c:spPr>
            <a:solidFill>
              <a:srgbClr val="E78C4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القطاع'!$B$16:$E$16</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B-73A5-4136-93FF-5976F0110ACD}"/>
            </c:ext>
          </c:extLst>
        </c:ser>
        <c:ser>
          <c:idx val="12"/>
          <c:order val="12"/>
          <c:tx>
            <c:strRef>
              <c:f>'20-الواردة حسب القطاع'!$A$17</c:f>
              <c:strCache>
                <c:ptCount val="1"/>
                <c:pt idx="0">
                  <c:v>شركة مساهمة خاصة</c:v>
                </c:pt>
              </c:strCache>
            </c:strRef>
          </c:tx>
          <c:spPr>
            <a:solidFill>
              <a:srgbClr val="7E9BC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القطاع'!$B$17:$E$17</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C-73A5-4136-93FF-5976F0110ACD}"/>
            </c:ext>
          </c:extLst>
        </c:ser>
        <c:ser>
          <c:idx val="13"/>
          <c:order val="13"/>
          <c:tx>
            <c:strRef>
              <c:f>'20-الواردة حسب القطاع'!$A$18</c:f>
              <c:strCache>
                <c:ptCount val="1"/>
                <c:pt idx="0">
                  <c:v>محامون</c:v>
                </c:pt>
              </c:strCache>
            </c:strRef>
          </c:tx>
          <c:spPr>
            <a:solidFill>
              <a:srgbClr val="CA7E7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القطاع'!$B$18:$E$18</c:f>
              <c:numCache>
                <c:formatCode>General</c:formatCode>
                <c:ptCount val="4"/>
                <c:pt idx="0">
                  <c:v>0</c:v>
                </c:pt>
                <c:pt idx="1">
                  <c:v>2</c:v>
                </c:pt>
                <c:pt idx="2">
                  <c:v>0</c:v>
                </c:pt>
                <c:pt idx="3">
                  <c:v>0</c:v>
                </c:pt>
              </c:numCache>
            </c:numRef>
          </c:val>
          <c:extLst>
            <c:ext xmlns:c16="http://schemas.microsoft.com/office/drawing/2014/chart" uri="{C3380CC4-5D6E-409C-BE32-E72D297353CC}">
              <c16:uniqueId val="{0000000D-73A5-4136-93FF-5976F0110ACD}"/>
            </c:ext>
          </c:extLst>
        </c:ser>
        <c:ser>
          <c:idx val="14"/>
          <c:order val="14"/>
          <c:tx>
            <c:strRef>
              <c:f>'20-الواردة حسب القطاع'!$A$19</c:f>
              <c:strCache>
                <c:ptCount val="1"/>
                <c:pt idx="0">
                  <c:v>لجان</c:v>
                </c:pt>
              </c:strCache>
            </c:strRef>
          </c:tx>
          <c:spPr>
            <a:solidFill>
              <a:srgbClr val="ADC68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القطاع'!$B$19:$E$19</c:f>
              <c:numCache>
                <c:formatCode>General</c:formatCode>
                <c:ptCount val="4"/>
                <c:pt idx="0">
                  <c:v>0</c:v>
                </c:pt>
                <c:pt idx="1">
                  <c:v>2</c:v>
                </c:pt>
                <c:pt idx="2">
                  <c:v>0</c:v>
                </c:pt>
                <c:pt idx="3">
                  <c:v>0</c:v>
                </c:pt>
              </c:numCache>
            </c:numRef>
          </c:val>
          <c:extLst>
            <c:ext xmlns:c16="http://schemas.microsoft.com/office/drawing/2014/chart" uri="{C3380CC4-5D6E-409C-BE32-E72D297353CC}">
              <c16:uniqueId val="{0000000E-73A5-4136-93FF-5976F0110ACD}"/>
            </c:ext>
          </c:extLst>
        </c:ser>
        <c:ser>
          <c:idx val="15"/>
          <c:order val="15"/>
          <c:tx>
            <c:strRef>
              <c:f>'20-الواردة حسب القطاع'!$A$20</c:f>
              <c:strCache>
                <c:ptCount val="1"/>
                <c:pt idx="0">
                  <c:v>مكلفين بخدمة عامة</c:v>
                </c:pt>
              </c:strCache>
            </c:strRef>
          </c:tx>
          <c:spPr>
            <a:solidFill>
              <a:srgbClr val="9A89B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القطاع'!$B$20:$E$20</c:f>
              <c:numCache>
                <c:formatCode>General</c:formatCode>
                <c:ptCount val="4"/>
                <c:pt idx="0">
                  <c:v>0</c:v>
                </c:pt>
                <c:pt idx="1">
                  <c:v>3</c:v>
                </c:pt>
                <c:pt idx="2">
                  <c:v>0</c:v>
                </c:pt>
                <c:pt idx="3">
                  <c:v>0</c:v>
                </c:pt>
              </c:numCache>
            </c:numRef>
          </c:val>
          <c:extLst>
            <c:ext xmlns:c16="http://schemas.microsoft.com/office/drawing/2014/chart" uri="{C3380CC4-5D6E-409C-BE32-E72D297353CC}">
              <c16:uniqueId val="{0000000F-73A5-4136-93FF-5976F0110ACD}"/>
            </c:ext>
          </c:extLst>
        </c:ser>
        <c:ser>
          <c:idx val="16"/>
          <c:order val="16"/>
          <c:tx>
            <c:strRef>
              <c:f>'20-الواردة حسب القطاع'!$A$21</c:f>
              <c:strCache>
                <c:ptCount val="1"/>
                <c:pt idx="0">
                  <c:v>حراس قضائيون</c:v>
                </c:pt>
              </c:strCache>
            </c:strRef>
          </c:tx>
          <c:spPr>
            <a:solidFill>
              <a:srgbClr val="7CBAC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القطاع'!$B$21:$E$21</c:f>
              <c:numCache>
                <c:formatCode>General</c:formatCode>
                <c:ptCount val="4"/>
                <c:pt idx="0">
                  <c:v>0</c:v>
                </c:pt>
                <c:pt idx="1">
                  <c:v>0</c:v>
                </c:pt>
                <c:pt idx="2">
                  <c:v>2</c:v>
                </c:pt>
                <c:pt idx="3">
                  <c:v>0</c:v>
                </c:pt>
              </c:numCache>
            </c:numRef>
          </c:val>
          <c:extLst>
            <c:ext xmlns:c16="http://schemas.microsoft.com/office/drawing/2014/chart" uri="{C3380CC4-5D6E-409C-BE32-E72D297353CC}">
              <c16:uniqueId val="{00000010-73A5-4136-93FF-5976F0110ACD}"/>
            </c:ext>
          </c:extLst>
        </c:ser>
        <c:ser>
          <c:idx val="17"/>
          <c:order val="17"/>
          <c:tx>
            <c:strRef>
              <c:f>'20-الواردة حسب القطاع'!$A$22</c:f>
              <c:strCache>
                <c:ptCount val="1"/>
                <c:pt idx="0">
                  <c:v>سفارات</c:v>
                </c:pt>
              </c:strCache>
            </c:strRef>
          </c:tx>
          <c:spPr>
            <a:solidFill>
              <a:srgbClr val="F8AA7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القطاع'!$B$22:$E$22</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1-73A5-4136-93FF-5976F0110ACD}"/>
            </c:ext>
          </c:extLst>
        </c:ser>
        <c:ser>
          <c:idx val="18"/>
          <c:order val="18"/>
          <c:tx>
            <c:strRef>
              <c:f>'20-الواردة حسب القطاع'!$A$23</c:f>
              <c:strCache>
                <c:ptCount val="1"/>
                <c:pt idx="0">
                  <c:v>شركة عقارات</c:v>
                </c:pt>
              </c:strCache>
            </c:strRef>
          </c:tx>
          <c:spPr>
            <a:solidFill>
              <a:srgbClr val="B5C3D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القطاع'!$B$23:$E$23</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2-73A5-4136-93FF-5976F0110ACD}"/>
            </c:ext>
          </c:extLst>
        </c:ser>
        <c:ser>
          <c:idx val="19"/>
          <c:order val="19"/>
          <c:tx>
            <c:strRef>
              <c:f>'20-الواردة حسب القطاع'!$A$24</c:f>
              <c:strCache>
                <c:ptCount val="1"/>
                <c:pt idx="0">
                  <c:v>الغرفة التجارية</c:v>
                </c:pt>
              </c:strCache>
            </c:strRef>
          </c:tx>
          <c:spPr>
            <a:solidFill>
              <a:srgbClr val="DDB5B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القطاع'!$B$24:$E$24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3-73A5-4136-93FF-5976F0110ACD}"/>
            </c:ext>
          </c:extLst>
        </c:ser>
        <c:ser>
          <c:idx val="20"/>
          <c:order val="20"/>
          <c:tx>
            <c:strRef>
              <c:f>'20-الواردة حسب القطاع'!$A$25</c:f>
              <c:strCache>
                <c:ptCount val="1"/>
                <c:pt idx="0">
                  <c:v>مؤسسات منظمة التحرير</c:v>
                </c:pt>
              </c:strCache>
            </c:strRef>
          </c:tx>
          <c:spPr>
            <a:solidFill>
              <a:srgbClr val="CCDAB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القطاع'!$B$25:$E$25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14-73A5-4136-93FF-5976F0110ACD}"/>
            </c:ext>
          </c:extLst>
        </c:ser>
        <c:ser>
          <c:idx val="21"/>
          <c:order val="21"/>
          <c:tx>
            <c:strRef>
              <c:f>'20-الواردة حسب القطاع'!$A$26</c:f>
              <c:strCache>
                <c:ptCount val="1"/>
                <c:pt idx="0">
                  <c:v>الشركات الخاصة غير الخاضعة</c:v>
                </c:pt>
              </c:strCache>
            </c:strRef>
          </c:tx>
          <c:spPr>
            <a:solidFill>
              <a:srgbClr val="C2BAC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'20-الواردة حسب القطاع'!$B$4:$E$4</c:f>
              <c:strCache>
                <c:ptCount val="4"/>
                <c:pt idx="0">
                  <c:v>2022</c:v>
                </c:pt>
                <c:pt idx="1">
                  <c:v>2023</c:v>
                </c:pt>
                <c:pt idx="2">
                  <c:v>2024</c:v>
                </c:pt>
                <c:pt idx="3">
                  <c:v>2025</c:v>
                </c:pt>
              </c:strCache>
            </c:strRef>
          </c:cat>
          <c:val>
            <c:numRef>
              <c:f>'20-الواردة حسب القطاع'!$B$26:$E$26</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15-73A5-4136-93FF-5976F0110ACD}"/>
            </c:ext>
          </c:extLst>
        </c:ser>
        <c:dLbls>
          <c:showLegendKey val="0"/>
          <c:showVal val="0"/>
          <c:showCatName val="0"/>
          <c:showSerName val="0"/>
          <c:showPercent val="0"/>
          <c:showBubbleSize val="0"/>
        </c:dLbls>
        <c:gapWidth val="150"/>
        <c:axId val="82863910"/>
        <c:axId val="90598239"/>
      </c:barChart>
      <c:catAx>
        <c:axId val="8286391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598239"/>
        <c:crosses val="autoZero"/>
        <c:auto val="1"/>
        <c:lblAlgn val="ctr"/>
        <c:lblOffset val="100"/>
        <c:noMultiLvlLbl val="0"/>
      </c:catAx>
      <c:valAx>
        <c:axId val="90598239"/>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86391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21. تصنيف جرائم الفساد في الملفات الواردة للإدارة</a:t>
            </a:r>
          </a:p>
        </c:rich>
      </c:tx>
      <c:overlay val="0"/>
      <c:spPr>
        <a:noFill/>
        <a:ln w="0">
          <a:noFill/>
        </a:ln>
      </c:spPr>
    </c:title>
    <c:autoTitleDeleted val="0"/>
    <c:plotArea>
      <c:layout/>
      <c:barChart>
        <c:barDir val="col"/>
        <c:grouping val="clustered"/>
        <c:varyColors val="0"/>
        <c:ser>
          <c:idx val="0"/>
          <c:order val="0"/>
          <c:tx>
            <c:strRef>
              <c:f>'21-جرائم الملفات الواردة'!$A$5</c:f>
              <c:strCache>
                <c:ptCount val="1"/>
                <c:pt idx="0">
                  <c:v>اساءة استعمال السلطة</c:v>
                </c:pt>
              </c:strCache>
            </c:strRef>
          </c:tx>
          <c:spPr>
            <a:solidFill>
              <a:srgbClr val="416A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الواردة'!$B$5:$E$5</c:f>
              <c:numCache>
                <c:formatCode>General</c:formatCode>
                <c:ptCount val="4"/>
                <c:pt idx="0">
                  <c:v>134</c:v>
                </c:pt>
                <c:pt idx="1">
                  <c:v>106</c:v>
                </c:pt>
                <c:pt idx="2">
                  <c:v>62</c:v>
                </c:pt>
                <c:pt idx="3">
                  <c:v>70</c:v>
                </c:pt>
              </c:numCache>
            </c:numRef>
          </c:val>
          <c:extLst>
            <c:ext xmlns:c16="http://schemas.microsoft.com/office/drawing/2014/chart" uri="{C3380CC4-5D6E-409C-BE32-E72D297353CC}">
              <c16:uniqueId val="{00000000-7613-4E98-BBCA-5EE09E10931B}"/>
            </c:ext>
          </c:extLst>
        </c:ser>
        <c:ser>
          <c:idx val="1"/>
          <c:order val="1"/>
          <c:tx>
            <c:strRef>
              <c:f>'21-جرائم الملفات الواردة'!$A$6</c:f>
              <c:strCache>
                <c:ptCount val="1"/>
                <c:pt idx="0">
                  <c:v>الاختلاس</c:v>
                </c:pt>
              </c:strCache>
            </c:strRef>
          </c:tx>
          <c:spPr>
            <a:solidFill>
              <a:srgbClr val="9F423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الواردة'!$B$6:$E$6</c:f>
              <c:numCache>
                <c:formatCode>General</c:formatCode>
                <c:ptCount val="4"/>
                <c:pt idx="0">
                  <c:v>12</c:v>
                </c:pt>
                <c:pt idx="1">
                  <c:v>9</c:v>
                </c:pt>
                <c:pt idx="2">
                  <c:v>4</c:v>
                </c:pt>
                <c:pt idx="3">
                  <c:v>8</c:v>
                </c:pt>
              </c:numCache>
            </c:numRef>
          </c:val>
          <c:extLst>
            <c:ext xmlns:c16="http://schemas.microsoft.com/office/drawing/2014/chart" uri="{C3380CC4-5D6E-409C-BE32-E72D297353CC}">
              <c16:uniqueId val="{00000001-7613-4E98-BBCA-5EE09E10931B}"/>
            </c:ext>
          </c:extLst>
        </c:ser>
        <c:ser>
          <c:idx val="2"/>
          <c:order val="2"/>
          <c:tx>
            <c:strRef>
              <c:f>'21-جرائم الملفات الواردة'!$A$7</c:f>
              <c:strCache>
                <c:ptCount val="1"/>
                <c:pt idx="0">
                  <c:v>إساءة الائتمان</c:v>
                </c:pt>
              </c:strCache>
            </c:strRef>
          </c:tx>
          <c:spPr>
            <a:solidFill>
              <a:srgbClr val="809B4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الواردة'!$B$7:$E$7</c:f>
              <c:numCache>
                <c:formatCode>General</c:formatCode>
                <c:ptCount val="4"/>
                <c:pt idx="0">
                  <c:v>27</c:v>
                </c:pt>
                <c:pt idx="1">
                  <c:v>40</c:v>
                </c:pt>
                <c:pt idx="2">
                  <c:v>18</c:v>
                </c:pt>
                <c:pt idx="3">
                  <c:v>13</c:v>
                </c:pt>
              </c:numCache>
            </c:numRef>
          </c:val>
          <c:extLst>
            <c:ext xmlns:c16="http://schemas.microsoft.com/office/drawing/2014/chart" uri="{C3380CC4-5D6E-409C-BE32-E72D297353CC}">
              <c16:uniqueId val="{00000002-7613-4E98-BBCA-5EE09E10931B}"/>
            </c:ext>
          </c:extLst>
        </c:ser>
        <c:ser>
          <c:idx val="3"/>
          <c:order val="3"/>
          <c:tx>
            <c:strRef>
              <c:f>'21-جرائم الملفات الواردة'!$A$8</c:f>
              <c:strCache>
                <c:ptCount val="1"/>
                <c:pt idx="0">
                  <c:v>التزوير/إعطاء مصدقات كاذبة/استعمال سند مزور</c:v>
                </c:pt>
              </c:strCache>
            </c:strRef>
          </c:tx>
          <c:spPr>
            <a:solidFill>
              <a:srgbClr val="6A528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الواردة'!$B$8:$E$8</c:f>
              <c:numCache>
                <c:formatCode>General</c:formatCode>
                <c:ptCount val="4"/>
                <c:pt idx="0">
                  <c:v>53</c:v>
                </c:pt>
                <c:pt idx="1">
                  <c:v>38</c:v>
                </c:pt>
                <c:pt idx="2">
                  <c:v>35</c:v>
                </c:pt>
                <c:pt idx="3">
                  <c:v>58</c:v>
                </c:pt>
              </c:numCache>
            </c:numRef>
          </c:val>
          <c:extLst>
            <c:ext xmlns:c16="http://schemas.microsoft.com/office/drawing/2014/chart" uri="{C3380CC4-5D6E-409C-BE32-E72D297353CC}">
              <c16:uniqueId val="{00000003-7613-4E98-BBCA-5EE09E10931B}"/>
            </c:ext>
          </c:extLst>
        </c:ser>
        <c:ser>
          <c:idx val="4"/>
          <c:order val="4"/>
          <c:tx>
            <c:strRef>
              <c:f>'21-جرائم الملفات الواردة'!$A$9</c:f>
              <c:strCache>
                <c:ptCount val="1"/>
                <c:pt idx="0">
                  <c:v>التهاون في أداء واجبات الوظيفة العمومية</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الواردة'!$B$9:$E$9</c:f>
              <c:numCache>
                <c:formatCode>General</c:formatCode>
                <c:ptCount val="4"/>
                <c:pt idx="0">
                  <c:v>23</c:v>
                </c:pt>
                <c:pt idx="1">
                  <c:v>10</c:v>
                </c:pt>
                <c:pt idx="2">
                  <c:v>17</c:v>
                </c:pt>
                <c:pt idx="3">
                  <c:v>12</c:v>
                </c:pt>
              </c:numCache>
            </c:numRef>
          </c:val>
          <c:extLst>
            <c:ext xmlns:c16="http://schemas.microsoft.com/office/drawing/2014/chart" uri="{C3380CC4-5D6E-409C-BE32-E72D297353CC}">
              <c16:uniqueId val="{00000004-7613-4E98-BBCA-5EE09E10931B}"/>
            </c:ext>
          </c:extLst>
        </c:ser>
        <c:ser>
          <c:idx val="5"/>
          <c:order val="5"/>
          <c:tx>
            <c:strRef>
              <c:f>'21-جرائم الملفات الواردة'!$A$10</c:f>
              <c:strCache>
                <c:ptCount val="1"/>
                <c:pt idx="0">
                  <c:v>عدم الإفصاح عن تضارب المصالح</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الواردة'!$B$10:$E$10</c:f>
              <c:numCache>
                <c:formatCode>General</c:formatCode>
                <c:ptCount val="4"/>
                <c:pt idx="0">
                  <c:v>15</c:v>
                </c:pt>
                <c:pt idx="1">
                  <c:v>13</c:v>
                </c:pt>
                <c:pt idx="2">
                  <c:v>25</c:v>
                </c:pt>
                <c:pt idx="3">
                  <c:v>17</c:v>
                </c:pt>
              </c:numCache>
            </c:numRef>
          </c:val>
          <c:extLst>
            <c:ext xmlns:c16="http://schemas.microsoft.com/office/drawing/2014/chart" uri="{C3380CC4-5D6E-409C-BE32-E72D297353CC}">
              <c16:uniqueId val="{00000005-7613-4E98-BBCA-5EE09E10931B}"/>
            </c:ext>
          </c:extLst>
        </c:ser>
        <c:ser>
          <c:idx val="6"/>
          <c:order val="6"/>
          <c:tx>
            <c:strRef>
              <c:f>'21-جرائم الملفات الواردة'!$A$11</c:f>
              <c:strCache>
                <c:ptCount val="1"/>
                <c:pt idx="0">
                  <c:v>الاستثمار الوظيفي</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الواردة'!$B$11:$E$11</c:f>
              <c:numCache>
                <c:formatCode>General</c:formatCode>
                <c:ptCount val="4"/>
                <c:pt idx="0">
                  <c:v>7</c:v>
                </c:pt>
                <c:pt idx="1">
                  <c:v>8</c:v>
                </c:pt>
                <c:pt idx="2">
                  <c:v>4</c:v>
                </c:pt>
                <c:pt idx="3">
                  <c:v>0</c:v>
                </c:pt>
              </c:numCache>
            </c:numRef>
          </c:val>
          <c:extLst>
            <c:ext xmlns:c16="http://schemas.microsoft.com/office/drawing/2014/chart" uri="{C3380CC4-5D6E-409C-BE32-E72D297353CC}">
              <c16:uniqueId val="{00000006-7613-4E98-BBCA-5EE09E10931B}"/>
            </c:ext>
          </c:extLst>
        </c:ser>
        <c:ser>
          <c:idx val="7"/>
          <c:order val="7"/>
          <c:tx>
            <c:strRef>
              <c:f>'21-جرائم الملفات الواردة'!$A$12</c:f>
              <c:strCache>
                <c:ptCount val="1"/>
                <c:pt idx="0">
                  <c:v>قبول الواسطة والمحسوبية (والمحاباة)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الواردة'!$B$12:$E$12</c:f>
              <c:numCache>
                <c:formatCode>General</c:formatCode>
                <c:ptCount val="4"/>
                <c:pt idx="0">
                  <c:v>25</c:v>
                </c:pt>
                <c:pt idx="1">
                  <c:v>26</c:v>
                </c:pt>
                <c:pt idx="2">
                  <c:v>11</c:v>
                </c:pt>
                <c:pt idx="3">
                  <c:v>9</c:v>
                </c:pt>
              </c:numCache>
            </c:numRef>
          </c:val>
          <c:extLst>
            <c:ext xmlns:c16="http://schemas.microsoft.com/office/drawing/2014/chart" uri="{C3380CC4-5D6E-409C-BE32-E72D297353CC}">
              <c16:uniqueId val="{00000007-7613-4E98-BBCA-5EE09E10931B}"/>
            </c:ext>
          </c:extLst>
        </c:ser>
        <c:ser>
          <c:idx val="8"/>
          <c:order val="8"/>
          <c:tx>
            <c:strRef>
              <c:f>'21-جرائم الملفات الواردة'!$A$13</c:f>
              <c:strCache>
                <c:ptCount val="1"/>
                <c:pt idx="0">
                  <c:v>الكسب غير المشروع</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الواردة'!$B$13:$E$13</c:f>
              <c:numCache>
                <c:formatCode>General</c:formatCode>
                <c:ptCount val="4"/>
                <c:pt idx="0">
                  <c:v>14</c:v>
                </c:pt>
                <c:pt idx="1">
                  <c:v>12</c:v>
                </c:pt>
                <c:pt idx="2">
                  <c:v>5</c:v>
                </c:pt>
                <c:pt idx="3">
                  <c:v>22</c:v>
                </c:pt>
              </c:numCache>
            </c:numRef>
          </c:val>
          <c:extLst>
            <c:ext xmlns:c16="http://schemas.microsoft.com/office/drawing/2014/chart" uri="{C3380CC4-5D6E-409C-BE32-E72D297353CC}">
              <c16:uniqueId val="{00000008-7613-4E98-BBCA-5EE09E10931B}"/>
            </c:ext>
          </c:extLst>
        </c:ser>
        <c:ser>
          <c:idx val="9"/>
          <c:order val="9"/>
          <c:tx>
            <c:strRef>
              <c:f>'21-جرائم الملفات الواردة'!$A$14</c:f>
              <c:strCache>
                <c:ptCount val="1"/>
                <c:pt idx="0">
                  <c:v>الحصول على منفعة شخصية (منفصلاً)</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الواردة'!$B$14:$E$14</c:f>
              <c:numCache>
                <c:formatCode>General</c:formatCode>
                <c:ptCount val="4"/>
                <c:pt idx="0">
                  <c:v>2</c:v>
                </c:pt>
                <c:pt idx="1">
                  <c:v>0</c:v>
                </c:pt>
                <c:pt idx="2">
                  <c:v>3</c:v>
                </c:pt>
                <c:pt idx="3">
                  <c:v>0</c:v>
                </c:pt>
              </c:numCache>
            </c:numRef>
          </c:val>
          <c:extLst>
            <c:ext xmlns:c16="http://schemas.microsoft.com/office/drawing/2014/chart" uri="{C3380CC4-5D6E-409C-BE32-E72D297353CC}">
              <c16:uniqueId val="{00000009-7613-4E98-BBCA-5EE09E10931B}"/>
            </c:ext>
          </c:extLst>
        </c:ser>
        <c:ser>
          <c:idx val="10"/>
          <c:order val="10"/>
          <c:tx>
            <c:strRef>
              <c:f>'21-جرائم الملفات الواردة'!$A$15</c:f>
              <c:strCache>
                <c:ptCount val="1"/>
                <c:pt idx="0">
                  <c:v>الاستثمار الوظيفي / الحصول على منفعة شخصية / الاتجار غير المشروع (مدمج)</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الواردة'!$B$15:$E$15</c:f>
              <c:numCache>
                <c:formatCode>General</c:formatCode>
                <c:ptCount val="4"/>
                <c:pt idx="0">
                  <c:v>0</c:v>
                </c:pt>
                <c:pt idx="1">
                  <c:v>0</c:v>
                </c:pt>
                <c:pt idx="2">
                  <c:v>0</c:v>
                </c:pt>
                <c:pt idx="3">
                  <c:v>16</c:v>
                </c:pt>
              </c:numCache>
            </c:numRef>
          </c:val>
          <c:extLst>
            <c:ext xmlns:c16="http://schemas.microsoft.com/office/drawing/2014/chart" uri="{C3380CC4-5D6E-409C-BE32-E72D297353CC}">
              <c16:uniqueId val="{0000000A-7613-4E98-BBCA-5EE09E10931B}"/>
            </c:ext>
          </c:extLst>
        </c:ser>
        <c:ser>
          <c:idx val="11"/>
          <c:order val="11"/>
          <c:tx>
            <c:strRef>
              <c:f>'21-جرائم الملفات الواردة'!$A$16</c:f>
              <c:strCache>
                <c:ptCount val="1"/>
                <c:pt idx="0">
                  <c:v>الرشوة</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الواردة'!$B$16:$E$16</c:f>
              <c:numCache>
                <c:formatCode>General</c:formatCode>
                <c:ptCount val="4"/>
                <c:pt idx="0">
                  <c:v>10</c:v>
                </c:pt>
                <c:pt idx="1">
                  <c:v>15</c:v>
                </c:pt>
                <c:pt idx="2">
                  <c:v>8</c:v>
                </c:pt>
                <c:pt idx="3">
                  <c:v>13</c:v>
                </c:pt>
              </c:numCache>
            </c:numRef>
          </c:val>
          <c:extLst>
            <c:ext xmlns:c16="http://schemas.microsoft.com/office/drawing/2014/chart" uri="{C3380CC4-5D6E-409C-BE32-E72D297353CC}">
              <c16:uniqueId val="{0000000B-7613-4E98-BBCA-5EE09E10931B}"/>
            </c:ext>
          </c:extLst>
        </c:ser>
        <c:ser>
          <c:idx val="12"/>
          <c:order val="12"/>
          <c:tx>
            <c:strRef>
              <c:f>'21-جرائم الملفات الواردة'!$A$17</c:f>
              <c:strCache>
                <c:ptCount val="1"/>
                <c:pt idx="0">
                  <c:v>المتاجرة بالنفوذ</c:v>
                </c:pt>
              </c:strCache>
            </c:strRef>
          </c:tx>
          <c:spPr>
            <a:solidFill>
              <a:srgbClr val="AABAD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الواردة'!$B$17:$E$17</c:f>
              <c:numCache>
                <c:formatCode>General</c:formatCode>
                <c:ptCount val="4"/>
                <c:pt idx="0">
                  <c:v>3</c:v>
                </c:pt>
                <c:pt idx="1">
                  <c:v>2</c:v>
                </c:pt>
                <c:pt idx="2">
                  <c:v>1</c:v>
                </c:pt>
                <c:pt idx="3">
                  <c:v>2</c:v>
                </c:pt>
              </c:numCache>
            </c:numRef>
          </c:val>
          <c:extLst>
            <c:ext xmlns:c16="http://schemas.microsoft.com/office/drawing/2014/chart" uri="{C3380CC4-5D6E-409C-BE32-E72D297353CC}">
              <c16:uniqueId val="{0000000C-7613-4E98-BBCA-5EE09E10931B}"/>
            </c:ext>
          </c:extLst>
        </c:ser>
        <c:ser>
          <c:idx val="13"/>
          <c:order val="13"/>
          <c:tx>
            <c:strRef>
              <c:f>'21-جرائم الملفات الواردة'!$A$18</c:f>
              <c:strCache>
                <c:ptCount val="1"/>
                <c:pt idx="0">
                  <c:v>عدم الاختصاص</c:v>
                </c:pt>
              </c:strCache>
            </c:strRef>
          </c:tx>
          <c:spPr>
            <a:solidFill>
              <a:srgbClr val="D8AAA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الواردة'!$B$18:$E$18</c:f>
              <c:numCache>
                <c:formatCode>General</c:formatCode>
                <c:ptCount val="4"/>
                <c:pt idx="0">
                  <c:v>6</c:v>
                </c:pt>
                <c:pt idx="1">
                  <c:v>0</c:v>
                </c:pt>
                <c:pt idx="2">
                  <c:v>0</c:v>
                </c:pt>
                <c:pt idx="3">
                  <c:v>0</c:v>
                </c:pt>
              </c:numCache>
            </c:numRef>
          </c:val>
          <c:extLst>
            <c:ext xmlns:c16="http://schemas.microsoft.com/office/drawing/2014/chart" uri="{C3380CC4-5D6E-409C-BE32-E72D297353CC}">
              <c16:uniqueId val="{0000000D-7613-4E98-BBCA-5EE09E10931B}"/>
            </c:ext>
          </c:extLst>
        </c:ser>
        <c:ser>
          <c:idx val="14"/>
          <c:order val="14"/>
          <c:tx>
            <c:strRef>
              <c:f>'21-جرائم الملفات الواردة'!$A$19</c:f>
              <c:strCache>
                <c:ptCount val="1"/>
                <c:pt idx="0">
                  <c:v>إعاقة سير العدالة</c:v>
                </c:pt>
              </c:strCache>
            </c:strRef>
          </c:tx>
          <c:spPr>
            <a:solidFill>
              <a:srgbClr val="C5D6A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الواردة'!$B$19:$E$19</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E-7613-4E98-BBCA-5EE09E10931B}"/>
            </c:ext>
          </c:extLst>
        </c:ser>
        <c:ser>
          <c:idx val="15"/>
          <c:order val="15"/>
          <c:tx>
            <c:strRef>
              <c:f>'21-جرائم الملفات الواردة'!$A$20</c:f>
              <c:strCache>
                <c:ptCount val="1"/>
                <c:pt idx="0">
                  <c:v>غسل الأموال</c:v>
                </c:pt>
              </c:strCache>
            </c:strRef>
          </c:tx>
          <c:spPr>
            <a:solidFill>
              <a:srgbClr val="B9AFC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'21-جرائم الملفات الواردة'!$B$4:$E$4</c:f>
              <c:strCache>
                <c:ptCount val="4"/>
                <c:pt idx="0">
                  <c:v>2022</c:v>
                </c:pt>
                <c:pt idx="1">
                  <c:v>2023</c:v>
                </c:pt>
                <c:pt idx="2">
                  <c:v>2024</c:v>
                </c:pt>
                <c:pt idx="3">
                  <c:v>2025</c:v>
                </c:pt>
              </c:strCache>
            </c:strRef>
          </c:cat>
          <c:val>
            <c:numRef>
              <c:f>'21-جرائم الملفات الواردة'!$B$20:$E$20</c:f>
              <c:numCache>
                <c:formatCode>General</c:formatCode>
                <c:ptCount val="4"/>
                <c:pt idx="0">
                  <c:v>0</c:v>
                </c:pt>
                <c:pt idx="1">
                  <c:v>0</c:v>
                </c:pt>
                <c:pt idx="2">
                  <c:v>0</c:v>
                </c:pt>
                <c:pt idx="3">
                  <c:v>4</c:v>
                </c:pt>
              </c:numCache>
            </c:numRef>
          </c:val>
          <c:extLst>
            <c:ext xmlns:c16="http://schemas.microsoft.com/office/drawing/2014/chart" uri="{C3380CC4-5D6E-409C-BE32-E72D297353CC}">
              <c16:uniqueId val="{0000000F-7613-4E98-BBCA-5EE09E10931B}"/>
            </c:ext>
          </c:extLst>
        </c:ser>
        <c:dLbls>
          <c:showLegendKey val="0"/>
          <c:showVal val="0"/>
          <c:showCatName val="0"/>
          <c:showSerName val="0"/>
          <c:showPercent val="0"/>
          <c:showBubbleSize val="0"/>
        </c:dLbls>
        <c:gapWidth val="150"/>
        <c:axId val="10551350"/>
        <c:axId val="56117574"/>
      </c:barChart>
      <c:catAx>
        <c:axId val="1055135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6117574"/>
        <c:crosses val="autoZero"/>
        <c:auto val="1"/>
        <c:lblAlgn val="ctr"/>
        <c:lblOffset val="100"/>
        <c:noMultiLvlLbl val="0"/>
      </c:catAx>
      <c:valAx>
        <c:axId val="5611757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5513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أ) الملفات المحفوظة حسب القطاع</a:t>
            </a:r>
          </a:p>
        </c:rich>
      </c:tx>
      <c:overlay val="0"/>
      <c:spPr>
        <a:noFill/>
        <a:ln w="0">
          <a:noFill/>
        </a:ln>
      </c:spPr>
    </c:title>
    <c:autoTitleDeleted val="0"/>
    <c:plotArea>
      <c:layout/>
      <c:barChart>
        <c:barDir val="col"/>
        <c:grouping val="clustered"/>
        <c:varyColors val="0"/>
        <c:ser>
          <c:idx val="0"/>
          <c:order val="0"/>
          <c:tx>
            <c:strRef>
              <c:f>'22-المحفوظة حسب قطاع وجرم'!$A$6</c:f>
              <c:strCache>
                <c:ptCount val="1"/>
                <c:pt idx="0">
                  <c:v>قطاع عام/وزارات ومؤسسات وزارية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وجرم'!$B$6:$E$6</c:f>
              <c:numCache>
                <c:formatCode>General</c:formatCode>
                <c:ptCount val="4"/>
                <c:pt idx="0">
                  <c:v>80</c:v>
                </c:pt>
                <c:pt idx="1">
                  <c:v>0</c:v>
                </c:pt>
                <c:pt idx="2">
                  <c:v>0</c:v>
                </c:pt>
                <c:pt idx="3">
                  <c:v>0</c:v>
                </c:pt>
              </c:numCache>
            </c:numRef>
          </c:val>
          <c:extLst>
            <c:ext xmlns:c16="http://schemas.microsoft.com/office/drawing/2014/chart" uri="{C3380CC4-5D6E-409C-BE32-E72D297353CC}">
              <c16:uniqueId val="{00000000-C1E6-43E8-B012-4AAF66EB1EE6}"/>
            </c:ext>
          </c:extLst>
        </c:ser>
        <c:ser>
          <c:idx val="1"/>
          <c:order val="1"/>
          <c:tx>
            <c:strRef>
              <c:f>'22-المحفوظة حسب قطاع وجرم'!$A$7</c:f>
              <c:strCache>
                <c:ptCount val="1"/>
                <c:pt idx="0">
                  <c:v>هيئات محلية</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وجرم'!$B$7:$E$7</c:f>
              <c:numCache>
                <c:formatCode>General</c:formatCode>
                <c:ptCount val="4"/>
                <c:pt idx="0">
                  <c:v>51</c:v>
                </c:pt>
                <c:pt idx="1">
                  <c:v>0</c:v>
                </c:pt>
                <c:pt idx="2">
                  <c:v>0</c:v>
                </c:pt>
                <c:pt idx="3">
                  <c:v>0</c:v>
                </c:pt>
              </c:numCache>
            </c:numRef>
          </c:val>
          <c:extLst>
            <c:ext xmlns:c16="http://schemas.microsoft.com/office/drawing/2014/chart" uri="{C3380CC4-5D6E-409C-BE32-E72D297353CC}">
              <c16:uniqueId val="{00000001-C1E6-43E8-B012-4AAF66EB1EE6}"/>
            </c:ext>
          </c:extLst>
        </c:ser>
        <c:ser>
          <c:idx val="2"/>
          <c:order val="2"/>
          <c:tx>
            <c:strRef>
              <c:f>'22-المحفوظة حسب قطاع وجرم'!$A$8</c:f>
              <c:strCache>
                <c:ptCount val="1"/>
                <c:pt idx="0">
                  <c:v>جمعيات</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وجرم'!$B$8:$E$8</c:f>
              <c:numCache>
                <c:formatCode>General</c:formatCode>
                <c:ptCount val="4"/>
                <c:pt idx="0">
                  <c:v>8</c:v>
                </c:pt>
                <c:pt idx="1">
                  <c:v>0</c:v>
                </c:pt>
                <c:pt idx="2">
                  <c:v>0</c:v>
                </c:pt>
                <c:pt idx="3">
                  <c:v>0</c:v>
                </c:pt>
              </c:numCache>
            </c:numRef>
          </c:val>
          <c:extLst>
            <c:ext xmlns:c16="http://schemas.microsoft.com/office/drawing/2014/chart" uri="{C3380CC4-5D6E-409C-BE32-E72D297353CC}">
              <c16:uniqueId val="{00000002-C1E6-43E8-B012-4AAF66EB1EE6}"/>
            </c:ext>
          </c:extLst>
        </c:ser>
        <c:ser>
          <c:idx val="3"/>
          <c:order val="3"/>
          <c:tx>
            <c:strRef>
              <c:f>'22-المحفوظة حسب قطاع وجرم'!$A$9</c:f>
              <c:strCache>
                <c:ptCount val="1"/>
                <c:pt idx="0">
                  <c:v>اتحادات ونقابات</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وجرم'!$B$9:$E$9</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3-C1E6-43E8-B012-4AAF66EB1EE6}"/>
            </c:ext>
          </c:extLst>
        </c:ser>
        <c:ser>
          <c:idx val="4"/>
          <c:order val="4"/>
          <c:tx>
            <c:strRef>
              <c:f>'22-المحفوظة حسب قطاع وجرم'!$A$10</c:f>
              <c:strCache>
                <c:ptCount val="1"/>
                <c:pt idx="0">
                  <c:v>لجان</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وجرم'!$B$10:$E$10</c:f>
              <c:numCache>
                <c:formatCode>General</c:formatCode>
                <c:ptCount val="4"/>
                <c:pt idx="0">
                  <c:v>2</c:v>
                </c:pt>
                <c:pt idx="1">
                  <c:v>0</c:v>
                </c:pt>
                <c:pt idx="2">
                  <c:v>0</c:v>
                </c:pt>
                <c:pt idx="3">
                  <c:v>0</c:v>
                </c:pt>
              </c:numCache>
            </c:numRef>
          </c:val>
          <c:extLst>
            <c:ext xmlns:c16="http://schemas.microsoft.com/office/drawing/2014/chart" uri="{C3380CC4-5D6E-409C-BE32-E72D297353CC}">
              <c16:uniqueId val="{00000004-C1E6-43E8-B012-4AAF66EB1EE6}"/>
            </c:ext>
          </c:extLst>
        </c:ser>
        <c:ser>
          <c:idx val="5"/>
          <c:order val="5"/>
          <c:tx>
            <c:strRef>
              <c:f>'22-المحفوظة حسب قطاع وجرم'!$A$11</c:f>
              <c:strCache>
                <c:ptCount val="1"/>
                <c:pt idx="0">
                  <c:v>مؤسسة عامة</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وجرم'!$B$11:$E$11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5-C1E6-43E8-B012-4AAF66EB1EE6}"/>
            </c:ext>
          </c:extLst>
        </c:ser>
        <c:ser>
          <c:idx val="6"/>
          <c:order val="6"/>
          <c:tx>
            <c:strRef>
              <c:f>'22-المحفوظة حسب قطاع وجرم'!$A$12</c:f>
              <c:strCache>
                <c:ptCount val="1"/>
                <c:pt idx="0">
                  <c:v>قطاع عام/مؤسسة تعليمية</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وجرم'!$B$5:$E$5</c:f>
              <c:strCache>
                <c:ptCount val="4"/>
                <c:pt idx="0">
                  <c:v>2022</c:v>
                </c:pt>
                <c:pt idx="1">
                  <c:v>2023</c:v>
                </c:pt>
                <c:pt idx="2">
                  <c:v>2024</c:v>
                </c:pt>
                <c:pt idx="3">
                  <c:v>2025</c:v>
                </c:pt>
              </c:strCache>
            </c:strRef>
          </c:cat>
          <c:val>
            <c:numRef>
              <c:f>'22-المحفوظة حسب قطاع وجرم'!$B$12:$E$12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6-C1E6-43E8-B012-4AAF66EB1EE6}"/>
            </c:ext>
          </c:extLst>
        </c:ser>
        <c:dLbls>
          <c:showLegendKey val="0"/>
          <c:showVal val="0"/>
          <c:showCatName val="0"/>
          <c:showSerName val="0"/>
          <c:showPercent val="0"/>
          <c:showBubbleSize val="0"/>
        </c:dLbls>
        <c:gapWidth val="150"/>
        <c:axId val="36164376"/>
        <c:axId val="52248302"/>
      </c:barChart>
      <c:catAx>
        <c:axId val="3616437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248302"/>
        <c:crosses val="autoZero"/>
        <c:auto val="1"/>
        <c:lblAlgn val="ctr"/>
        <c:lblOffset val="100"/>
        <c:noMultiLvlLbl val="0"/>
      </c:catAx>
      <c:valAx>
        <c:axId val="52248302"/>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1643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ب) الملفات المحفوظة حسب نوع الجرم</a:t>
            </a:r>
          </a:p>
        </c:rich>
      </c:tx>
      <c:overlay val="0"/>
      <c:spPr>
        <a:noFill/>
        <a:ln w="0">
          <a:noFill/>
        </a:ln>
      </c:spPr>
    </c:title>
    <c:autoTitleDeleted val="0"/>
    <c:plotArea>
      <c:layout/>
      <c:barChart>
        <c:barDir val="col"/>
        <c:grouping val="clustered"/>
        <c:varyColors val="0"/>
        <c:ser>
          <c:idx val="0"/>
          <c:order val="0"/>
          <c:tx>
            <c:strRef>
              <c:f>'22-المحفوظة حسب قطاع وجرم'!$A$17</c:f>
              <c:strCache>
                <c:ptCount val="1"/>
                <c:pt idx="0">
                  <c:v>اساءة استعمال السلطة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وجرم'!$B$17:$E$17</c:f>
              <c:numCache>
                <c:formatCode>General</c:formatCode>
                <c:ptCount val="4"/>
                <c:pt idx="0">
                  <c:v>100</c:v>
                </c:pt>
                <c:pt idx="1">
                  <c:v>0</c:v>
                </c:pt>
                <c:pt idx="2">
                  <c:v>0</c:v>
                </c:pt>
                <c:pt idx="3">
                  <c:v>0</c:v>
                </c:pt>
              </c:numCache>
            </c:numRef>
          </c:val>
          <c:extLst>
            <c:ext xmlns:c16="http://schemas.microsoft.com/office/drawing/2014/chart" uri="{C3380CC4-5D6E-409C-BE32-E72D297353CC}">
              <c16:uniqueId val="{00000000-02BC-49B3-AF8E-A01D9F11AE4A}"/>
            </c:ext>
          </c:extLst>
        </c:ser>
        <c:ser>
          <c:idx val="1"/>
          <c:order val="1"/>
          <c:tx>
            <c:strRef>
              <c:f>'22-المحفوظة حسب قطاع وجرم'!$A$18</c:f>
              <c:strCache>
                <c:ptCount val="1"/>
                <c:pt idx="0">
                  <c:v>إساءة الائتمان</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وجرم'!$B$18:$E$18</c:f>
              <c:numCache>
                <c:formatCode>General</c:formatCode>
                <c:ptCount val="4"/>
                <c:pt idx="0">
                  <c:v>9</c:v>
                </c:pt>
                <c:pt idx="1">
                  <c:v>0</c:v>
                </c:pt>
                <c:pt idx="2">
                  <c:v>0</c:v>
                </c:pt>
                <c:pt idx="3">
                  <c:v>0</c:v>
                </c:pt>
              </c:numCache>
            </c:numRef>
          </c:val>
          <c:extLst>
            <c:ext xmlns:c16="http://schemas.microsoft.com/office/drawing/2014/chart" uri="{C3380CC4-5D6E-409C-BE32-E72D297353CC}">
              <c16:uniqueId val="{00000001-02BC-49B3-AF8E-A01D9F11AE4A}"/>
            </c:ext>
          </c:extLst>
        </c:ser>
        <c:ser>
          <c:idx val="2"/>
          <c:order val="2"/>
          <c:tx>
            <c:strRef>
              <c:f>'22-المحفوظة حسب قطاع وجرم'!$A$19</c:f>
              <c:strCache>
                <c:ptCount val="1"/>
                <c:pt idx="0">
                  <c:v>الاختلاس</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وجرم'!$B$19:$E$19</c:f>
              <c:numCache>
                <c:formatCode>General</c:formatCode>
                <c:ptCount val="4"/>
                <c:pt idx="0">
                  <c:v>3</c:v>
                </c:pt>
                <c:pt idx="1">
                  <c:v>0</c:v>
                </c:pt>
                <c:pt idx="2">
                  <c:v>0</c:v>
                </c:pt>
                <c:pt idx="3">
                  <c:v>0</c:v>
                </c:pt>
              </c:numCache>
            </c:numRef>
          </c:val>
          <c:extLst>
            <c:ext xmlns:c16="http://schemas.microsoft.com/office/drawing/2014/chart" uri="{C3380CC4-5D6E-409C-BE32-E72D297353CC}">
              <c16:uniqueId val="{00000002-02BC-49B3-AF8E-A01D9F11AE4A}"/>
            </c:ext>
          </c:extLst>
        </c:ser>
        <c:ser>
          <c:idx val="3"/>
          <c:order val="3"/>
          <c:tx>
            <c:strRef>
              <c:f>'22-المحفوظة حسب قطاع وجرم'!$A$20</c:f>
              <c:strCache>
                <c:ptCount val="1"/>
                <c:pt idx="0">
                  <c:v>الكسب غير المشروع</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وجرم'!$B$20:$E$20</c:f>
              <c:numCache>
                <c:formatCode>General</c:formatCode>
                <c:ptCount val="4"/>
                <c:pt idx="0">
                  <c:v>14</c:v>
                </c:pt>
                <c:pt idx="1">
                  <c:v>0</c:v>
                </c:pt>
                <c:pt idx="2">
                  <c:v>0</c:v>
                </c:pt>
                <c:pt idx="3">
                  <c:v>0</c:v>
                </c:pt>
              </c:numCache>
            </c:numRef>
          </c:val>
          <c:extLst>
            <c:ext xmlns:c16="http://schemas.microsoft.com/office/drawing/2014/chart" uri="{C3380CC4-5D6E-409C-BE32-E72D297353CC}">
              <c16:uniqueId val="{00000003-02BC-49B3-AF8E-A01D9F11AE4A}"/>
            </c:ext>
          </c:extLst>
        </c:ser>
        <c:ser>
          <c:idx val="4"/>
          <c:order val="4"/>
          <c:tx>
            <c:strRef>
              <c:f>'22-المحفوظة حسب قطاع وجرم'!$A$21</c:f>
              <c:strCache>
                <c:ptCount val="1"/>
                <c:pt idx="0">
                  <c:v>التهاون في أداء الواجبات الوظيفية</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وجرم'!$B$21:$E$21</c:f>
              <c:numCache>
                <c:formatCode>General</c:formatCode>
                <c:ptCount val="4"/>
                <c:pt idx="0">
                  <c:v>22</c:v>
                </c:pt>
                <c:pt idx="1">
                  <c:v>0</c:v>
                </c:pt>
                <c:pt idx="2">
                  <c:v>0</c:v>
                </c:pt>
                <c:pt idx="3">
                  <c:v>0</c:v>
                </c:pt>
              </c:numCache>
            </c:numRef>
          </c:val>
          <c:extLst>
            <c:ext xmlns:c16="http://schemas.microsoft.com/office/drawing/2014/chart" uri="{C3380CC4-5D6E-409C-BE32-E72D297353CC}">
              <c16:uniqueId val="{00000004-02BC-49B3-AF8E-A01D9F11AE4A}"/>
            </c:ext>
          </c:extLst>
        </c:ser>
        <c:ser>
          <c:idx val="5"/>
          <c:order val="5"/>
          <c:tx>
            <c:strRef>
              <c:f>'22-المحفوظة حسب قطاع وجرم'!$A$22</c:f>
              <c:strCache>
                <c:ptCount val="1"/>
                <c:pt idx="0">
                  <c:v>عدم الإفصاح عن تضارب المصالح</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وجرم'!$B$22:$E$22</c:f>
              <c:numCache>
                <c:formatCode>General</c:formatCode>
                <c:ptCount val="4"/>
                <c:pt idx="0">
                  <c:v>5</c:v>
                </c:pt>
                <c:pt idx="1">
                  <c:v>0</c:v>
                </c:pt>
                <c:pt idx="2">
                  <c:v>0</c:v>
                </c:pt>
                <c:pt idx="3">
                  <c:v>0</c:v>
                </c:pt>
              </c:numCache>
            </c:numRef>
          </c:val>
          <c:extLst>
            <c:ext xmlns:c16="http://schemas.microsoft.com/office/drawing/2014/chart" uri="{C3380CC4-5D6E-409C-BE32-E72D297353CC}">
              <c16:uniqueId val="{00000005-02BC-49B3-AF8E-A01D9F11AE4A}"/>
            </c:ext>
          </c:extLst>
        </c:ser>
        <c:ser>
          <c:idx val="6"/>
          <c:order val="6"/>
          <c:tx>
            <c:strRef>
              <c:f>'22-المحفوظة حسب قطاع وجرم'!$A$23</c:f>
              <c:strCache>
                <c:ptCount val="1"/>
                <c:pt idx="0">
                  <c:v>قبول الواسطة والمحسوبية</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وجرم'!$B$23:$E$23</c:f>
              <c:numCache>
                <c:formatCode>General</c:formatCode>
                <c:ptCount val="4"/>
                <c:pt idx="0">
                  <c:v>26</c:v>
                </c:pt>
                <c:pt idx="1">
                  <c:v>0</c:v>
                </c:pt>
                <c:pt idx="2">
                  <c:v>0</c:v>
                </c:pt>
                <c:pt idx="3">
                  <c:v>0</c:v>
                </c:pt>
              </c:numCache>
            </c:numRef>
          </c:val>
          <c:extLst>
            <c:ext xmlns:c16="http://schemas.microsoft.com/office/drawing/2014/chart" uri="{C3380CC4-5D6E-409C-BE32-E72D297353CC}">
              <c16:uniqueId val="{00000006-02BC-49B3-AF8E-A01D9F11AE4A}"/>
            </c:ext>
          </c:extLst>
        </c:ser>
        <c:ser>
          <c:idx val="7"/>
          <c:order val="7"/>
          <c:tx>
            <c:strRef>
              <c:f>'22-المحفوظة حسب قطاع وجرم'!$A$24</c:f>
              <c:strCache>
                <c:ptCount val="1"/>
                <c:pt idx="0">
                  <c:v>التزوير/إعطاء مصدقات كاذبة</c:v>
                </c:pt>
              </c:strCache>
            </c:strRef>
          </c:tx>
          <c:spPr>
            <a:solidFill>
              <a:srgbClr val="D0949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وجرم'!$B$24:$E$24</c:f>
              <c:numCache>
                <c:formatCode>General</c:formatCode>
                <c:ptCount val="4"/>
                <c:pt idx="0">
                  <c:v>19</c:v>
                </c:pt>
                <c:pt idx="1">
                  <c:v>0</c:v>
                </c:pt>
                <c:pt idx="2">
                  <c:v>0</c:v>
                </c:pt>
                <c:pt idx="3">
                  <c:v>0</c:v>
                </c:pt>
              </c:numCache>
            </c:numRef>
          </c:val>
          <c:extLst>
            <c:ext xmlns:c16="http://schemas.microsoft.com/office/drawing/2014/chart" uri="{C3380CC4-5D6E-409C-BE32-E72D297353CC}">
              <c16:uniqueId val="{00000007-02BC-49B3-AF8E-A01D9F11AE4A}"/>
            </c:ext>
          </c:extLst>
        </c:ser>
        <c:ser>
          <c:idx val="8"/>
          <c:order val="8"/>
          <c:tx>
            <c:strRef>
              <c:f>'22-المحفوظة حسب قطاع وجرم'!$A$25</c:f>
              <c:strCache>
                <c:ptCount val="1"/>
                <c:pt idx="0">
                  <c:v>الرشوة</c:v>
                </c:pt>
              </c:strCache>
            </c:strRef>
          </c:tx>
          <c:spPr>
            <a:solidFill>
              <a:srgbClr val="B8CD9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وجرم'!$B$25:$E$25</c:f>
              <c:numCache>
                <c:formatCode>General</c:formatCode>
                <c:ptCount val="4"/>
                <c:pt idx="0">
                  <c:v>4</c:v>
                </c:pt>
                <c:pt idx="1">
                  <c:v>0</c:v>
                </c:pt>
                <c:pt idx="2">
                  <c:v>0</c:v>
                </c:pt>
                <c:pt idx="3">
                  <c:v>0</c:v>
                </c:pt>
              </c:numCache>
            </c:numRef>
          </c:val>
          <c:extLst>
            <c:ext xmlns:c16="http://schemas.microsoft.com/office/drawing/2014/chart" uri="{C3380CC4-5D6E-409C-BE32-E72D297353CC}">
              <c16:uniqueId val="{00000008-02BC-49B3-AF8E-A01D9F11AE4A}"/>
            </c:ext>
          </c:extLst>
        </c:ser>
        <c:ser>
          <c:idx val="9"/>
          <c:order val="9"/>
          <c:tx>
            <c:strRef>
              <c:f>'22-المحفوظة حسب قطاع وجرم'!$A$26</c:f>
              <c:strCache>
                <c:ptCount val="1"/>
                <c:pt idx="0">
                  <c:v>الاستثمار الوظيفي</c:v>
                </c:pt>
              </c:strCache>
            </c:strRef>
          </c:tx>
          <c:spPr>
            <a:solidFill>
              <a:srgbClr val="A99B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وجرم'!$B$26:$E$26</c:f>
              <c:numCache>
                <c:formatCode>General</c:formatCode>
                <c:ptCount val="4"/>
                <c:pt idx="0">
                  <c:v>2</c:v>
                </c:pt>
                <c:pt idx="1">
                  <c:v>0</c:v>
                </c:pt>
                <c:pt idx="2">
                  <c:v>0</c:v>
                </c:pt>
                <c:pt idx="3">
                  <c:v>0</c:v>
                </c:pt>
              </c:numCache>
            </c:numRef>
          </c:val>
          <c:extLst>
            <c:ext xmlns:c16="http://schemas.microsoft.com/office/drawing/2014/chart" uri="{C3380CC4-5D6E-409C-BE32-E72D297353CC}">
              <c16:uniqueId val="{00000009-02BC-49B3-AF8E-A01D9F11AE4A}"/>
            </c:ext>
          </c:extLst>
        </c:ser>
        <c:ser>
          <c:idx val="10"/>
          <c:order val="10"/>
          <c:tx>
            <c:strRef>
              <c:f>'22-المحفوظة حسب قطاع وجرم'!$A$27</c:f>
              <c:strCache>
                <c:ptCount val="1"/>
                <c:pt idx="0">
                  <c:v>المتاجرة بالنفوذ</c:v>
                </c:pt>
              </c:strCache>
            </c:strRef>
          </c:tx>
          <c:spPr>
            <a:solidFill>
              <a:srgbClr val="92C3D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'22-المحفوظة حسب قطاع وجرم'!$B$16:$E$16</c:f>
              <c:strCache>
                <c:ptCount val="4"/>
                <c:pt idx="0">
                  <c:v>2022</c:v>
                </c:pt>
                <c:pt idx="1">
                  <c:v>2023</c:v>
                </c:pt>
                <c:pt idx="2">
                  <c:v>2024</c:v>
                </c:pt>
                <c:pt idx="3">
                  <c:v>2025</c:v>
                </c:pt>
              </c:strCache>
            </c:strRef>
          </c:cat>
          <c:val>
            <c:numRef>
              <c:f>'22-المحفوظة حسب قطاع وجرم'!$B$27:$E$27</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A-02BC-49B3-AF8E-A01D9F11AE4A}"/>
            </c:ext>
          </c:extLst>
        </c:ser>
        <c:dLbls>
          <c:showLegendKey val="0"/>
          <c:showVal val="0"/>
          <c:showCatName val="0"/>
          <c:showSerName val="0"/>
          <c:showPercent val="0"/>
          <c:showBubbleSize val="0"/>
        </c:dLbls>
        <c:gapWidth val="150"/>
        <c:axId val="64067443"/>
        <c:axId val="77399228"/>
      </c:barChart>
      <c:catAx>
        <c:axId val="6406744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7399228"/>
        <c:crosses val="autoZero"/>
        <c:auto val="1"/>
        <c:lblAlgn val="ctr"/>
        <c:lblOffset val="100"/>
        <c:noMultiLvlLbl val="0"/>
      </c:catAx>
      <c:valAx>
        <c:axId val="77399228"/>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06744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23. عدد الملفات المحوّلة إلى النيابة العامة لعدم تشكيل الفعل جريمة فساد</a:t>
            </a:r>
          </a:p>
        </c:rich>
      </c:tx>
      <c:overlay val="0"/>
      <c:spPr>
        <a:noFill/>
        <a:ln w="0">
          <a:noFill/>
        </a:ln>
      </c:spPr>
    </c:title>
    <c:autoTitleDeleted val="0"/>
    <c:plotArea>
      <c:layout/>
      <c:barChart>
        <c:barDir val="col"/>
        <c:grouping val="clustered"/>
        <c:varyColors val="0"/>
        <c:ser>
          <c:idx val="0"/>
          <c:order val="0"/>
          <c:tx>
            <c:strRef>
              <c:f>'23-محولة للنيابة العامة'!$A$5</c:f>
              <c:strCache>
                <c:ptCount val="1"/>
                <c:pt idx="0">
                  <c:v>عدد الملفات المحوّلة للنيابة العامة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'23-محولة للنيابة العامة'!$B$4:$E$4</c:f>
              <c:strCache>
                <c:ptCount val="4"/>
                <c:pt idx="0">
                  <c:v>2022</c:v>
                </c:pt>
                <c:pt idx="1">
                  <c:v>2023</c:v>
                </c:pt>
                <c:pt idx="2">
                  <c:v>2024</c:v>
                </c:pt>
                <c:pt idx="3">
                  <c:v>2025</c:v>
                </c:pt>
              </c:strCache>
            </c:strRef>
          </c:cat>
          <c:val>
            <c:numRef>
              <c:f>'23-محولة للنيابة العامة'!$B$5:$E$5</c:f>
              <c:numCache>
                <c:formatCode>General</c:formatCode>
                <c:ptCount val="4"/>
                <c:pt idx="0">
                  <c:v>7</c:v>
                </c:pt>
                <c:pt idx="1">
                  <c:v>3</c:v>
                </c:pt>
                <c:pt idx="2">
                  <c:v>2</c:v>
                </c:pt>
                <c:pt idx="3">
                  <c:v>8</c:v>
                </c:pt>
              </c:numCache>
            </c:numRef>
          </c:val>
          <c:extLst>
            <c:ext xmlns:c16="http://schemas.microsoft.com/office/drawing/2014/chart" uri="{C3380CC4-5D6E-409C-BE32-E72D297353CC}">
              <c16:uniqueId val="{00000000-E302-451E-9DA7-D1CAD71B1E2D}"/>
            </c:ext>
          </c:extLst>
        </c:ser>
        <c:ser>
          <c:idx val="1"/>
          <c:order val="1"/>
          <c:tx>
            <c:strRef>
              <c:f>'23-محولة للنيابة العامة'!$A$6</c:f>
              <c:strCache>
                <c:ptCount val="1"/>
                <c:pt idx="0">
                  <c:v>إجمالي الملفات المردودة لعدم الاختصاص (للمقارنة)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'23-محولة للنيابة العامة'!$B$4:$E$4</c:f>
              <c:strCache>
                <c:ptCount val="4"/>
                <c:pt idx="0">
                  <c:v>2022</c:v>
                </c:pt>
                <c:pt idx="1">
                  <c:v>2023</c:v>
                </c:pt>
                <c:pt idx="2">
                  <c:v>2024</c:v>
                </c:pt>
                <c:pt idx="3">
                  <c:v>2025</c:v>
                </c:pt>
              </c:strCache>
            </c:strRef>
          </c:cat>
          <c:val>
            <c:numRef>
              <c:f>'23-محولة للنيابة العامة'!$B$6:$E$6</c:f>
              <c:numCache>
                <c:formatCode>General</c:formatCode>
                <c:ptCount val="4"/>
                <c:pt idx="0">
                  <c:v>13</c:v>
                </c:pt>
                <c:pt idx="1">
                  <c:v>5</c:v>
                </c:pt>
                <c:pt idx="2">
                  <c:v>2</c:v>
                </c:pt>
                <c:pt idx="3">
                  <c:v>8</c:v>
                </c:pt>
              </c:numCache>
            </c:numRef>
          </c:val>
          <c:extLst>
            <c:ext xmlns:c16="http://schemas.microsoft.com/office/drawing/2014/chart" uri="{C3380CC4-5D6E-409C-BE32-E72D297353CC}">
              <c16:uniqueId val="{00000001-E302-451E-9DA7-D1CAD71B1E2D}"/>
            </c:ext>
          </c:extLst>
        </c:ser>
        <c:dLbls>
          <c:showLegendKey val="0"/>
          <c:showVal val="0"/>
          <c:showCatName val="0"/>
          <c:showSerName val="0"/>
          <c:showPercent val="0"/>
          <c:showBubbleSize val="0"/>
        </c:dLbls>
        <c:gapWidth val="150"/>
        <c:axId val="49211510"/>
        <c:axId val="63152103"/>
      </c:barChart>
      <c:catAx>
        <c:axId val="4921151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152103"/>
        <c:crosses val="autoZero"/>
        <c:auto val="1"/>
        <c:lblAlgn val="ctr"/>
        <c:lblOffset val="100"/>
        <c:noMultiLvlLbl val="0"/>
      </c:catAx>
      <c:valAx>
        <c:axId val="63152103"/>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21151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24. أعمال الضبط القضائي والتحري والاستدلال (التحقيق الأولي)</a:t>
            </a:r>
          </a:p>
        </c:rich>
      </c:tx>
      <c:overlay val="0"/>
      <c:spPr>
        <a:noFill/>
        <a:ln w="0">
          <a:noFill/>
        </a:ln>
      </c:spPr>
    </c:title>
    <c:autoTitleDeleted val="0"/>
    <c:plotArea>
      <c:layout/>
      <c:barChart>
        <c:barDir val="col"/>
        <c:grouping val="clustered"/>
        <c:varyColors val="0"/>
        <c:ser>
          <c:idx val="0"/>
          <c:order val="0"/>
          <c:tx>
            <c:strRef>
              <c:f>'24-إجراءات الضبط القضائي'!$A$5</c:f>
              <c:strCache>
                <c:ptCount val="1"/>
                <c:pt idx="0">
                  <c:v>عدد المراسلات القضائية الموجّهة لجهات مختلفة</c:v>
                </c:pt>
              </c:strCache>
            </c:strRef>
          </c:tx>
          <c:spPr>
            <a:solidFill>
              <a:srgbClr val="416A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القضائي'!$B$5:$E$5</c:f>
              <c:numCache>
                <c:formatCode>General</c:formatCode>
                <c:ptCount val="4"/>
                <c:pt idx="0">
                  <c:v>0</c:v>
                </c:pt>
                <c:pt idx="1">
                  <c:v>342</c:v>
                </c:pt>
                <c:pt idx="2">
                  <c:v>300</c:v>
                </c:pt>
                <c:pt idx="3">
                  <c:v>0</c:v>
                </c:pt>
              </c:numCache>
            </c:numRef>
          </c:val>
          <c:extLst>
            <c:ext xmlns:c16="http://schemas.microsoft.com/office/drawing/2014/chart" uri="{C3380CC4-5D6E-409C-BE32-E72D297353CC}">
              <c16:uniqueId val="{00000000-9819-4187-A643-FFF52BD8B0B5}"/>
            </c:ext>
          </c:extLst>
        </c:ser>
        <c:ser>
          <c:idx val="1"/>
          <c:order val="1"/>
          <c:tx>
            <c:strRef>
              <c:f>'24-إجراءات الضبط القضائي'!$A$6</c:f>
              <c:strCache>
                <c:ptCount val="1"/>
                <c:pt idx="0">
                  <c:v>عدد الإفادات/الشهادات المسموعة في ملفات التحقيق الأولي</c:v>
                </c:pt>
              </c:strCache>
            </c:strRef>
          </c:tx>
          <c:spPr>
            <a:solidFill>
              <a:srgbClr val="9F423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القضائي'!$B$6:$E$6</c:f>
              <c:numCache>
                <c:formatCode>General</c:formatCode>
                <c:ptCount val="4"/>
                <c:pt idx="0">
                  <c:v>0</c:v>
                </c:pt>
                <c:pt idx="1">
                  <c:v>487</c:v>
                </c:pt>
                <c:pt idx="2">
                  <c:v>530</c:v>
                </c:pt>
                <c:pt idx="3">
                  <c:v>0</c:v>
                </c:pt>
              </c:numCache>
            </c:numRef>
          </c:val>
          <c:extLst>
            <c:ext xmlns:c16="http://schemas.microsoft.com/office/drawing/2014/chart" uri="{C3380CC4-5D6E-409C-BE32-E72D297353CC}">
              <c16:uniqueId val="{00000001-9819-4187-A643-FFF52BD8B0B5}"/>
            </c:ext>
          </c:extLst>
        </c:ser>
        <c:ser>
          <c:idx val="2"/>
          <c:order val="2"/>
          <c:tx>
            <c:strRef>
              <c:f>'24-إجراءات الضبط القضائي'!$A$7</c:f>
              <c:strCache>
                <c:ptCount val="1"/>
                <c:pt idx="0">
                  <c:v>عدد الأشخاص المُمنوعين من السفر</c:v>
                </c:pt>
              </c:strCache>
            </c:strRef>
          </c:tx>
          <c:spPr>
            <a:solidFill>
              <a:srgbClr val="809B4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القضائي'!$B$7:$E$7</c:f>
              <c:numCache>
                <c:formatCode>General</c:formatCode>
                <c:ptCount val="4"/>
                <c:pt idx="0">
                  <c:v>0</c:v>
                </c:pt>
                <c:pt idx="1">
                  <c:v>3</c:v>
                </c:pt>
                <c:pt idx="2">
                  <c:v>0</c:v>
                </c:pt>
                <c:pt idx="3">
                  <c:v>0</c:v>
                </c:pt>
              </c:numCache>
            </c:numRef>
          </c:val>
          <c:extLst>
            <c:ext xmlns:c16="http://schemas.microsoft.com/office/drawing/2014/chart" uri="{C3380CC4-5D6E-409C-BE32-E72D297353CC}">
              <c16:uniqueId val="{00000002-9819-4187-A643-FFF52BD8B0B5}"/>
            </c:ext>
          </c:extLst>
        </c:ser>
        <c:ser>
          <c:idx val="3"/>
          <c:order val="3"/>
          <c:tx>
            <c:strRef>
              <c:f>'24-إجراءات الضبط القضائي'!$A$8</c:f>
              <c:strCache>
                <c:ptCount val="1"/>
                <c:pt idx="0">
                  <c:v>قيمة الأموال المضبوطة في ملفات تحقيقية (شيقل)</c:v>
                </c:pt>
              </c:strCache>
            </c:strRef>
          </c:tx>
          <c:spPr>
            <a:solidFill>
              <a:srgbClr val="6A528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القضائي'!$B$8:$E$8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9819-4187-A643-FFF52BD8B0B5}"/>
            </c:ext>
          </c:extLst>
        </c:ser>
        <c:ser>
          <c:idx val="4"/>
          <c:order val="4"/>
          <c:tx>
            <c:strRef>
              <c:f>'24-إجراءات الضبط القضائي'!$A$9</c:f>
              <c:strCache>
                <c:ptCount val="1"/>
                <c:pt idx="0">
                  <c:v>عدد قرارات فض وفحص إقرارات الذمة المالية (رئيس الهيئة)</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القضائي'!$B$9:$E$9</c:f>
              <c:numCache>
                <c:formatCode>General</c:formatCode>
                <c:ptCount val="4"/>
                <c:pt idx="0">
                  <c:v>0</c:v>
                </c:pt>
                <c:pt idx="1">
                  <c:v>17</c:v>
                </c:pt>
                <c:pt idx="2">
                  <c:v>1</c:v>
                </c:pt>
                <c:pt idx="3">
                  <c:v>0</c:v>
                </c:pt>
              </c:numCache>
            </c:numRef>
          </c:val>
          <c:extLst>
            <c:ext xmlns:c16="http://schemas.microsoft.com/office/drawing/2014/chart" uri="{C3380CC4-5D6E-409C-BE32-E72D297353CC}">
              <c16:uniqueId val="{00000004-9819-4187-A643-FFF52BD8B0B5}"/>
            </c:ext>
          </c:extLst>
        </c:ser>
        <c:ser>
          <c:idx val="5"/>
          <c:order val="5"/>
          <c:tx>
            <c:strRef>
              <c:f>'24-إجراءات الضبط القضائي'!$A$10</c:f>
              <c:strCache>
                <c:ptCount val="1"/>
                <c:pt idx="0">
                  <c:v>عدد الأشخاص المشمولين بفض/فحص إقراراتهم المالية</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القضائي'!$B$10:$E$10</c:f>
              <c:numCache>
                <c:formatCode>General</c:formatCode>
                <c:ptCount val="4"/>
                <c:pt idx="0">
                  <c:v>0</c:v>
                </c:pt>
                <c:pt idx="1">
                  <c:v>18</c:v>
                </c:pt>
                <c:pt idx="2">
                  <c:v>10</c:v>
                </c:pt>
                <c:pt idx="3">
                  <c:v>0</c:v>
                </c:pt>
              </c:numCache>
            </c:numRef>
          </c:val>
          <c:extLst>
            <c:ext xmlns:c16="http://schemas.microsoft.com/office/drawing/2014/chart" uri="{C3380CC4-5D6E-409C-BE32-E72D297353CC}">
              <c16:uniqueId val="{00000005-9819-4187-A643-FFF52BD8B0B5}"/>
            </c:ext>
          </c:extLst>
        </c:ser>
        <c:ser>
          <c:idx val="6"/>
          <c:order val="6"/>
          <c:tx>
            <c:strRef>
              <c:f>'24-إجراءات الضبط القضائي'!$A$11</c:f>
              <c:strCache>
                <c:ptCount val="1"/>
                <c:pt idx="0">
                  <c:v>عدد قرارات رفع السرية المصرفية الصادرة عن النيابة العامة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القضائي'!$B$11:$E$11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6-9819-4187-A643-FFF52BD8B0B5}"/>
            </c:ext>
          </c:extLst>
        </c:ser>
        <c:ser>
          <c:idx val="7"/>
          <c:order val="7"/>
          <c:tx>
            <c:strRef>
              <c:f>'24-إجراءات الضبط القضائي'!$A$12</c:f>
              <c:strCache>
                <c:ptCount val="1"/>
                <c:pt idx="0">
                  <c:v>استصدار قرار من النيابة العامة بالنفاذ المباشر لهاتف مشتبه به</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القضائي'!$B$12:$E$12</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7-9819-4187-A643-FFF52BD8B0B5}"/>
            </c:ext>
          </c:extLst>
        </c:ser>
        <c:ser>
          <c:idx val="8"/>
          <c:order val="8"/>
          <c:tx>
            <c:strRef>
              <c:f>'24-إجراءات الضبط القضائي'!$A$13</c:f>
              <c:strCache>
                <c:ptCount val="1"/>
                <c:pt idx="0">
                  <c:v>تكليف شخص مشتبه به بتقديم إقرار ذمة مالية جديد</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القضائي'!$B$13:$E$13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9819-4187-A643-FFF52BD8B0B5}"/>
            </c:ext>
          </c:extLst>
        </c:ser>
        <c:ser>
          <c:idx val="9"/>
          <c:order val="9"/>
          <c:tx>
            <c:strRef>
              <c:f>'24-إجراءات الضبط القضائي'!$A$14</c:f>
              <c:strCache>
                <c:ptCount val="1"/>
                <c:pt idx="0">
                  <c:v>عدد طلبات وقف عمل موظفين لوجود شبهة فساد</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القضائي'!$B$14:$E$14</c:f>
              <c:numCache>
                <c:formatCode>General</c:formatCode>
                <c:ptCount val="4"/>
                <c:pt idx="0">
                  <c:v>0</c:v>
                </c:pt>
                <c:pt idx="1">
                  <c:v>0</c:v>
                </c:pt>
                <c:pt idx="2">
                  <c:v>2</c:v>
                </c:pt>
                <c:pt idx="3">
                  <c:v>0</c:v>
                </c:pt>
              </c:numCache>
            </c:numRef>
          </c:val>
          <c:extLst>
            <c:ext xmlns:c16="http://schemas.microsoft.com/office/drawing/2014/chart" uri="{C3380CC4-5D6E-409C-BE32-E72D297353CC}">
              <c16:uniqueId val="{00000009-9819-4187-A643-FFF52BD8B0B5}"/>
            </c:ext>
          </c:extLst>
        </c:ser>
        <c:ser>
          <c:idx val="10"/>
          <c:order val="10"/>
          <c:tx>
            <c:strRef>
              <c:f>'24-إجراءات الضبط القضائي'!$A$15</c:f>
              <c:strCache>
                <c:ptCount val="1"/>
                <c:pt idx="0">
                  <c:v>الاستعانة بالمختبر الجنائي لتقرير خبرة فنية (مضاهاة خطوط)</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القضائي'!$B$15:$E$15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A-9819-4187-A643-FFF52BD8B0B5}"/>
            </c:ext>
          </c:extLst>
        </c:ser>
        <c:ser>
          <c:idx val="11"/>
          <c:order val="11"/>
          <c:tx>
            <c:strRef>
              <c:f>'24-إجراءات الضبط القضائي'!$A$16</c:f>
              <c:strCache>
                <c:ptCount val="1"/>
                <c:pt idx="0">
                  <c:v>تنفيذ جولة ميدانية بالاستعانة بموظفي مساحة الأراضي</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القضائي'!$B$16:$E$16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B-9819-4187-A643-FFF52BD8B0B5}"/>
            </c:ext>
          </c:extLst>
        </c:ser>
        <c:ser>
          <c:idx val="12"/>
          <c:order val="12"/>
          <c:tx>
            <c:strRef>
              <c:f>'24-إجراءات الضبط القضائي'!$A$17</c:f>
              <c:strCache>
                <c:ptCount val="1"/>
                <c:pt idx="0">
                  <c:v>عدد الجهات المخاطَبة ضمن برنامج الوقاية من مخاطر الفساد</c:v>
                </c:pt>
              </c:strCache>
            </c:strRef>
          </c:tx>
          <c:spPr>
            <a:solidFill>
              <a:srgbClr val="AABAD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'24-إجراءات الضبط القضائي'!$B$4:$E$4</c:f>
              <c:strCache>
                <c:ptCount val="4"/>
                <c:pt idx="0">
                  <c:v>2022</c:v>
                </c:pt>
                <c:pt idx="1">
                  <c:v>2023</c:v>
                </c:pt>
                <c:pt idx="2">
                  <c:v>2024</c:v>
                </c:pt>
                <c:pt idx="3">
                  <c:v>2025</c:v>
                </c:pt>
              </c:strCache>
            </c:strRef>
          </c:cat>
          <c:val>
            <c:numRef>
              <c:f>'24-إجراءات الضبط القضائي'!$B$17:$E$17</c:f>
              <c:numCache>
                <c:formatCode>General</c:formatCode>
                <c:ptCount val="4"/>
                <c:pt idx="0">
                  <c:v>0</c:v>
                </c:pt>
                <c:pt idx="1">
                  <c:v>0</c:v>
                </c:pt>
                <c:pt idx="2">
                  <c:v>14</c:v>
                </c:pt>
                <c:pt idx="3">
                  <c:v>0</c:v>
                </c:pt>
              </c:numCache>
            </c:numRef>
          </c:val>
          <c:extLst>
            <c:ext xmlns:c16="http://schemas.microsoft.com/office/drawing/2014/chart" uri="{C3380CC4-5D6E-409C-BE32-E72D297353CC}">
              <c16:uniqueId val="{0000000C-9819-4187-A643-FFF52BD8B0B5}"/>
            </c:ext>
          </c:extLst>
        </c:ser>
        <c:dLbls>
          <c:showLegendKey val="0"/>
          <c:showVal val="0"/>
          <c:showCatName val="0"/>
          <c:showSerName val="0"/>
          <c:showPercent val="0"/>
          <c:showBubbleSize val="0"/>
        </c:dLbls>
        <c:gapWidth val="150"/>
        <c:axId val="85247074"/>
        <c:axId val="43851174"/>
      </c:barChart>
      <c:catAx>
        <c:axId val="8524707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851174"/>
        <c:crosses val="autoZero"/>
        <c:auto val="1"/>
        <c:lblAlgn val="ctr"/>
        <c:lblOffset val="100"/>
        <c:noMultiLvlLbl val="0"/>
      </c:catAx>
      <c:valAx>
        <c:axId val="4385117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52470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أ) نسب ومعدلات مشتقة (المجموعة الأولى)</a:t>
            </a:r>
          </a:p>
        </c:rich>
      </c:tx>
      <c:overlay val="0"/>
      <c:spPr>
        <a:noFill/>
        <a:ln w="0">
          <a:noFill/>
        </a:ln>
      </c:spPr>
    </c:title>
    <c:autoTitleDeleted val="0"/>
    <c:plotArea>
      <c:layout/>
      <c:barChart>
        <c:barDir val="col"/>
        <c:grouping val="clustered"/>
        <c:varyColors val="0"/>
        <c:ser>
          <c:idx val="0"/>
          <c:order val="0"/>
          <c:tx>
            <c:strRef>
              <c:f>'25-نسب ومعدلات مشتقة'!$A$6</c:f>
              <c:strCache>
                <c:ptCount val="1"/>
                <c:pt idx="0">
                  <c:v>الملفات التحقيقية الواردة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مشتقة'!$B$5:$E$5</c:f>
              <c:strCache>
                <c:ptCount val="4"/>
                <c:pt idx="0">
                  <c:v>2022</c:v>
                </c:pt>
                <c:pt idx="1">
                  <c:v>2023</c:v>
                </c:pt>
                <c:pt idx="2">
                  <c:v>2024</c:v>
                </c:pt>
                <c:pt idx="3">
                  <c:v>2025</c:v>
                </c:pt>
              </c:strCache>
            </c:strRef>
          </c:cat>
          <c:val>
            <c:numRef>
              <c:f>'25-نسب ومعدلات مشتقة'!$B$6:$E$6</c:f>
              <c:numCache>
                <c:formatCode>General</c:formatCode>
                <c:ptCount val="4"/>
                <c:pt idx="0">
                  <c:v>234</c:v>
                </c:pt>
                <c:pt idx="1">
                  <c:v>197</c:v>
                </c:pt>
                <c:pt idx="2">
                  <c:v>129</c:v>
                </c:pt>
                <c:pt idx="3">
                  <c:v>153</c:v>
                </c:pt>
              </c:numCache>
            </c:numRef>
          </c:val>
          <c:extLst>
            <c:ext xmlns:c16="http://schemas.microsoft.com/office/drawing/2014/chart" uri="{C3380CC4-5D6E-409C-BE32-E72D297353CC}">
              <c16:uniqueId val="{00000000-297C-4E7D-A9FF-072D64D7CE82}"/>
            </c:ext>
          </c:extLst>
        </c:ser>
        <c:ser>
          <c:idx val="1"/>
          <c:order val="1"/>
          <c:tx>
            <c:strRef>
              <c:f>'25-نسب ومعدلات مشتقة'!$A$7</c:f>
              <c:strCache>
                <c:ptCount val="1"/>
                <c:pt idx="0">
                  <c:v>الشكاوى والبلاغات (سجل أحوال) المرتبطة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مشتقة'!$B$5:$E$5</c:f>
              <c:strCache>
                <c:ptCount val="4"/>
                <c:pt idx="0">
                  <c:v>2022</c:v>
                </c:pt>
                <c:pt idx="1">
                  <c:v>2023</c:v>
                </c:pt>
                <c:pt idx="2">
                  <c:v>2024</c:v>
                </c:pt>
                <c:pt idx="3">
                  <c:v>2025</c:v>
                </c:pt>
              </c:strCache>
            </c:strRef>
          </c:cat>
          <c:val>
            <c:numRef>
              <c:f>'25-نسب ومعدلات مشتقة'!$B$7:$E$7</c:f>
              <c:numCache>
                <c:formatCode>General</c:formatCode>
                <c:ptCount val="4"/>
                <c:pt idx="0">
                  <c:v>325</c:v>
                </c:pt>
                <c:pt idx="1">
                  <c:v>244</c:v>
                </c:pt>
                <c:pt idx="2">
                  <c:v>151</c:v>
                </c:pt>
                <c:pt idx="3">
                  <c:v>194</c:v>
                </c:pt>
              </c:numCache>
            </c:numRef>
          </c:val>
          <c:extLst>
            <c:ext xmlns:c16="http://schemas.microsoft.com/office/drawing/2014/chart" uri="{C3380CC4-5D6E-409C-BE32-E72D297353CC}">
              <c16:uniqueId val="{00000001-297C-4E7D-A9FF-072D64D7CE82}"/>
            </c:ext>
          </c:extLst>
        </c:ser>
        <c:ser>
          <c:idx val="2"/>
          <c:order val="2"/>
          <c:tx>
            <c:strRef>
              <c:f>'25-نسب ومعدلات مشتقة'!$A$8</c:f>
              <c:strCache>
                <c:ptCount val="1"/>
                <c:pt idx="0">
                  <c:v>عدد قرارات الإحالة للنائب العام</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مشتقة'!$B$5:$E$5</c:f>
              <c:strCache>
                <c:ptCount val="4"/>
                <c:pt idx="0">
                  <c:v>2022</c:v>
                </c:pt>
                <c:pt idx="1">
                  <c:v>2023</c:v>
                </c:pt>
                <c:pt idx="2">
                  <c:v>2024</c:v>
                </c:pt>
                <c:pt idx="3">
                  <c:v>2025</c:v>
                </c:pt>
              </c:strCache>
            </c:strRef>
          </c:cat>
          <c:val>
            <c:numRef>
              <c:f>'25-نسب ومعدلات مشتقة'!$B$8:$E$8</c:f>
              <c:numCache>
                <c:formatCode>General</c:formatCode>
                <c:ptCount val="4"/>
                <c:pt idx="0">
                  <c:v>58</c:v>
                </c:pt>
                <c:pt idx="1">
                  <c:v>32</c:v>
                </c:pt>
                <c:pt idx="2">
                  <c:v>32</c:v>
                </c:pt>
                <c:pt idx="3">
                  <c:v>38</c:v>
                </c:pt>
              </c:numCache>
            </c:numRef>
          </c:val>
          <c:extLst>
            <c:ext xmlns:c16="http://schemas.microsoft.com/office/drawing/2014/chart" uri="{C3380CC4-5D6E-409C-BE32-E72D297353CC}">
              <c16:uniqueId val="{00000002-297C-4E7D-A9FF-072D64D7CE82}"/>
            </c:ext>
          </c:extLst>
        </c:ser>
        <c:ser>
          <c:idx val="3"/>
          <c:order val="3"/>
          <c:tx>
            <c:strRef>
              <c:f>'25-نسب ومعدلات مشتقة'!$A$9</c:f>
              <c:strCache>
                <c:ptCount val="1"/>
                <c:pt idx="0">
                  <c:v>عدد قرارات الحفظ</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مشتقة'!$B$5:$E$5</c:f>
              <c:strCache>
                <c:ptCount val="4"/>
                <c:pt idx="0">
                  <c:v>2022</c:v>
                </c:pt>
                <c:pt idx="1">
                  <c:v>2023</c:v>
                </c:pt>
                <c:pt idx="2">
                  <c:v>2024</c:v>
                </c:pt>
                <c:pt idx="3">
                  <c:v>2025</c:v>
                </c:pt>
              </c:strCache>
            </c:strRef>
          </c:cat>
          <c:val>
            <c:numRef>
              <c:f>'25-نسب ومعدلات مشتقة'!$B$9:$E$9</c:f>
              <c:numCache>
                <c:formatCode>General</c:formatCode>
                <c:ptCount val="4"/>
                <c:pt idx="0">
                  <c:v>141</c:v>
                </c:pt>
                <c:pt idx="1">
                  <c:v>133</c:v>
                </c:pt>
                <c:pt idx="2">
                  <c:v>103</c:v>
                </c:pt>
                <c:pt idx="3">
                  <c:v>120</c:v>
                </c:pt>
              </c:numCache>
            </c:numRef>
          </c:val>
          <c:extLst>
            <c:ext xmlns:c16="http://schemas.microsoft.com/office/drawing/2014/chart" uri="{C3380CC4-5D6E-409C-BE32-E72D297353CC}">
              <c16:uniqueId val="{00000003-297C-4E7D-A9FF-072D64D7CE82}"/>
            </c:ext>
          </c:extLst>
        </c:ser>
        <c:ser>
          <c:idx val="4"/>
          <c:order val="4"/>
          <c:tx>
            <c:strRef>
              <c:f>'25-نسب ومعدلات مشتقة'!$A$10</c:f>
              <c:strCache>
                <c:ptCount val="1"/>
                <c:pt idx="0">
                  <c:v>عدد قرارات الرد لعدم الاختصاص</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مشتقة'!$B$5:$E$5</c:f>
              <c:strCache>
                <c:ptCount val="4"/>
                <c:pt idx="0">
                  <c:v>2022</c:v>
                </c:pt>
                <c:pt idx="1">
                  <c:v>2023</c:v>
                </c:pt>
                <c:pt idx="2">
                  <c:v>2024</c:v>
                </c:pt>
                <c:pt idx="3">
                  <c:v>2025</c:v>
                </c:pt>
              </c:strCache>
            </c:strRef>
          </c:cat>
          <c:val>
            <c:numRef>
              <c:f>'25-نسب ومعدلات مشتقة'!$B$10:$E$10</c:f>
              <c:numCache>
                <c:formatCode>General</c:formatCode>
                <c:ptCount val="4"/>
                <c:pt idx="0">
                  <c:v>13</c:v>
                </c:pt>
                <c:pt idx="1">
                  <c:v>5</c:v>
                </c:pt>
                <c:pt idx="2">
                  <c:v>2</c:v>
                </c:pt>
                <c:pt idx="3">
                  <c:v>8</c:v>
                </c:pt>
              </c:numCache>
            </c:numRef>
          </c:val>
          <c:extLst>
            <c:ext xmlns:c16="http://schemas.microsoft.com/office/drawing/2014/chart" uri="{C3380CC4-5D6E-409C-BE32-E72D297353CC}">
              <c16:uniqueId val="{00000004-297C-4E7D-A9FF-072D64D7CE82}"/>
            </c:ext>
          </c:extLst>
        </c:ser>
        <c:ser>
          <c:idx val="5"/>
          <c:order val="5"/>
          <c:tx>
            <c:strRef>
              <c:f>'25-نسب ومعدلات مشتقة'!$A$11</c:f>
              <c:strCache>
                <c:ptCount val="1"/>
                <c:pt idx="0">
                  <c:v>عدد ملفات التحقيق الأولي المنجزة</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مشتقة'!$B$5:$E$5</c:f>
              <c:strCache>
                <c:ptCount val="4"/>
                <c:pt idx="0">
                  <c:v>2022</c:v>
                </c:pt>
                <c:pt idx="1">
                  <c:v>2023</c:v>
                </c:pt>
                <c:pt idx="2">
                  <c:v>2024</c:v>
                </c:pt>
                <c:pt idx="3">
                  <c:v>2025</c:v>
                </c:pt>
              </c:strCache>
            </c:strRef>
          </c:cat>
          <c:val>
            <c:numRef>
              <c:f>'25-نسب ومعدلات مشتقة'!$B$11:$E$11</c:f>
              <c:numCache>
                <c:formatCode>General</c:formatCode>
                <c:ptCount val="4"/>
                <c:pt idx="0">
                  <c:v>229</c:v>
                </c:pt>
                <c:pt idx="1">
                  <c:v>174</c:v>
                </c:pt>
                <c:pt idx="2">
                  <c:v>143</c:v>
                </c:pt>
                <c:pt idx="3">
                  <c:v>173</c:v>
                </c:pt>
              </c:numCache>
            </c:numRef>
          </c:val>
          <c:extLst>
            <c:ext xmlns:c16="http://schemas.microsoft.com/office/drawing/2014/chart" uri="{C3380CC4-5D6E-409C-BE32-E72D297353CC}">
              <c16:uniqueId val="{00000005-297C-4E7D-A9FF-072D64D7CE82}"/>
            </c:ext>
          </c:extLst>
        </c:ser>
        <c:dLbls>
          <c:showLegendKey val="0"/>
          <c:showVal val="0"/>
          <c:showCatName val="0"/>
          <c:showSerName val="0"/>
          <c:showPercent val="0"/>
          <c:showBubbleSize val="0"/>
        </c:dLbls>
        <c:gapWidth val="150"/>
        <c:axId val="26539042"/>
        <c:axId val="74279243"/>
      </c:barChart>
      <c:catAx>
        <c:axId val="2653904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4279243"/>
        <c:crosses val="autoZero"/>
        <c:auto val="1"/>
        <c:lblAlgn val="ctr"/>
        <c:lblOffset val="100"/>
        <c:noMultiLvlLbl val="0"/>
      </c:catAx>
      <c:valAx>
        <c:axId val="74279243"/>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5390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ب) نسب ومعدلات مشتقة (المجموعة الثانية)</a:t>
            </a:r>
          </a:p>
        </c:rich>
      </c:tx>
      <c:overlay val="0"/>
      <c:spPr>
        <a:noFill/>
        <a:ln w="0">
          <a:noFill/>
        </a:ln>
      </c:spPr>
    </c:title>
    <c:autoTitleDeleted val="0"/>
    <c:plotArea>
      <c:layout/>
      <c:barChart>
        <c:barDir val="col"/>
        <c:grouping val="clustered"/>
        <c:varyColors val="0"/>
        <c:ser>
          <c:idx val="0"/>
          <c:order val="0"/>
          <c:tx>
            <c:strRef>
              <c:f>'25-نسب ومعدلات مشتقة'!$A$15</c:f>
              <c:strCache>
                <c:ptCount val="1"/>
                <c:pt idx="0">
                  <c:v>نسبة الإحالة للنائب العام من إجمالي الملفات الواردة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مشتقة'!$B$15:$E$15</c:f>
              <c:numCache>
                <c:formatCode>0.0%</c:formatCode>
                <c:ptCount val="4"/>
                <c:pt idx="0">
                  <c:v>0.24786324786324787</c:v>
                </c:pt>
                <c:pt idx="1">
                  <c:v>0.16243654822335024</c:v>
                </c:pt>
                <c:pt idx="2">
                  <c:v>0.24806201550387597</c:v>
                </c:pt>
                <c:pt idx="3">
                  <c:v>0.24836601307189543</c:v>
                </c:pt>
              </c:numCache>
            </c:numRef>
          </c:val>
          <c:extLst>
            <c:ext xmlns:c16="http://schemas.microsoft.com/office/drawing/2014/chart" uri="{C3380CC4-5D6E-409C-BE32-E72D297353CC}">
              <c16:uniqueId val="{00000000-6958-4724-88B4-05B864D7D43B}"/>
            </c:ext>
          </c:extLst>
        </c:ser>
        <c:ser>
          <c:idx val="1"/>
          <c:order val="1"/>
          <c:tx>
            <c:strRef>
              <c:f>'25-نسب ومعدلات مشتقة'!$A$16</c:f>
              <c:strCache>
                <c:ptCount val="1"/>
                <c:pt idx="0">
                  <c:v>نسبة الحفظ من إجمالي الملفات الواردة</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مشتقة'!$B$16:$E$16</c:f>
              <c:numCache>
                <c:formatCode>0.0%</c:formatCode>
                <c:ptCount val="4"/>
                <c:pt idx="0">
                  <c:v>0.60256410256410253</c:v>
                </c:pt>
                <c:pt idx="1">
                  <c:v>0.67512690355329952</c:v>
                </c:pt>
                <c:pt idx="2">
                  <c:v>0.79844961240310075</c:v>
                </c:pt>
                <c:pt idx="3">
                  <c:v>0.78431372549019607</c:v>
                </c:pt>
              </c:numCache>
            </c:numRef>
          </c:val>
          <c:extLst>
            <c:ext xmlns:c16="http://schemas.microsoft.com/office/drawing/2014/chart" uri="{C3380CC4-5D6E-409C-BE32-E72D297353CC}">
              <c16:uniqueId val="{00000001-6958-4724-88B4-05B864D7D43B}"/>
            </c:ext>
          </c:extLst>
        </c:ser>
        <c:ser>
          <c:idx val="2"/>
          <c:order val="2"/>
          <c:tx>
            <c:strRef>
              <c:f>'25-نسب ومعدلات مشتقة'!$A$17</c:f>
              <c:strCache>
                <c:ptCount val="1"/>
                <c:pt idx="0">
                  <c:v>نسبة الرد لعدم الاختصاص من إجمالي الملفات الواردة</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مشتقة'!$B$17:$E$17</c:f>
              <c:numCache>
                <c:formatCode>0.0%</c:formatCode>
                <c:ptCount val="4"/>
                <c:pt idx="0">
                  <c:v>5.5555555555555552E-2</c:v>
                </c:pt>
                <c:pt idx="1">
                  <c:v>2.5380710659898477E-2</c:v>
                </c:pt>
                <c:pt idx="2">
                  <c:v>1.5503875968992248E-2</c:v>
                </c:pt>
                <c:pt idx="3">
                  <c:v>5.2287581699346407E-2</c:v>
                </c:pt>
              </c:numCache>
            </c:numRef>
          </c:val>
          <c:extLst>
            <c:ext xmlns:c16="http://schemas.microsoft.com/office/drawing/2014/chart" uri="{C3380CC4-5D6E-409C-BE32-E72D297353CC}">
              <c16:uniqueId val="{00000002-6958-4724-88B4-05B864D7D43B}"/>
            </c:ext>
          </c:extLst>
        </c:ser>
        <c:ser>
          <c:idx val="3"/>
          <c:order val="3"/>
          <c:tx>
            <c:strRef>
              <c:f>'25-نسب ومعدلات مشتقة'!$A$18</c:f>
              <c:strCache>
                <c:ptCount val="1"/>
                <c:pt idx="0">
                  <c:v>متوسط عدد الشكاوى/البلاغات لكل ملف تحقيقي واحد</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مشتقة'!$B$18:$E$18</c:f>
              <c:numCache>
                <c:formatCode>General</c:formatCode>
                <c:ptCount val="4"/>
                <c:pt idx="0">
                  <c:v>1.3888888888888888</c:v>
                </c:pt>
                <c:pt idx="1">
                  <c:v>1.2385786802030456</c:v>
                </c:pt>
                <c:pt idx="2">
                  <c:v>1.1705426356589148</c:v>
                </c:pt>
                <c:pt idx="3">
                  <c:v>1.2679738562091503</c:v>
                </c:pt>
              </c:numCache>
            </c:numRef>
          </c:val>
          <c:extLst>
            <c:ext xmlns:c16="http://schemas.microsoft.com/office/drawing/2014/chart" uri="{C3380CC4-5D6E-409C-BE32-E72D297353CC}">
              <c16:uniqueId val="{00000003-6958-4724-88B4-05B864D7D43B}"/>
            </c:ext>
          </c:extLst>
        </c:ser>
        <c:ser>
          <c:idx val="4"/>
          <c:order val="4"/>
          <c:tx>
            <c:strRef>
              <c:f>'25-نسب ومعدلات مشتقة'!$A$19</c:f>
              <c:strCache>
                <c:ptCount val="1"/>
                <c:pt idx="0">
                  <c:v>نسبة الملفات المنجزة من إجمالي الملفات الواردة</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مشتقة'!$B$19:$E$19</c:f>
              <c:numCache>
                <c:formatCode>0.0%</c:formatCode>
                <c:ptCount val="4"/>
                <c:pt idx="0">
                  <c:v>0.9786324786324786</c:v>
                </c:pt>
                <c:pt idx="1">
                  <c:v>0.88324873096446699</c:v>
                </c:pt>
                <c:pt idx="2">
                  <c:v>1.1085271317829457</c:v>
                </c:pt>
                <c:pt idx="3">
                  <c:v>1.130718954248366</c:v>
                </c:pt>
              </c:numCache>
            </c:numRef>
          </c:val>
          <c:extLst>
            <c:ext xmlns:c16="http://schemas.microsoft.com/office/drawing/2014/chart" uri="{C3380CC4-5D6E-409C-BE32-E72D297353CC}">
              <c16:uniqueId val="{00000004-6958-4724-88B4-05B864D7D43B}"/>
            </c:ext>
          </c:extLst>
        </c:ser>
        <c:ser>
          <c:idx val="5"/>
          <c:order val="5"/>
          <c:tx>
            <c:strRef>
              <c:f>'25-نسب ومعدلات مشتقة'!$A$20</c:f>
              <c:strCache>
                <c:ptCount val="1"/>
                <c:pt idx="0">
                  <c:v>معدل النمو السنوي لعدد الملفات الواردة (عن السنة السابقة)</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مشتقة'!$B$20:$E$20</c:f>
              <c:numCache>
                <c:formatCode>0.0%</c:formatCode>
                <c:ptCount val="4"/>
                <c:pt idx="0" formatCode="General">
                  <c:v>0</c:v>
                </c:pt>
                <c:pt idx="1">
                  <c:v>-0.15811965811965811</c:v>
                </c:pt>
                <c:pt idx="2">
                  <c:v>-0.34517766497461927</c:v>
                </c:pt>
                <c:pt idx="3">
                  <c:v>0.18604651162790697</c:v>
                </c:pt>
              </c:numCache>
            </c:numRef>
          </c:val>
          <c:extLst>
            <c:ext xmlns:c16="http://schemas.microsoft.com/office/drawing/2014/chart" uri="{C3380CC4-5D6E-409C-BE32-E72D297353CC}">
              <c16:uniqueId val="{00000005-6958-4724-88B4-05B864D7D43B}"/>
            </c:ext>
          </c:extLst>
        </c:ser>
        <c:ser>
          <c:idx val="6"/>
          <c:order val="6"/>
          <c:tx>
            <c:strRef>
              <c:f>'25-نسب ومعدلات مشتقة'!$A$21</c:f>
              <c:strCache>
                <c:ptCount val="1"/>
                <c:pt idx="0">
                  <c:v>الفرق بين عدد الملفات الواردة وعدد الملفات المنجزة (تراكم الملفات)</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'25-نسب ومعدلات مشتقة'!$B$14:$E$14</c:f>
              <c:strCache>
                <c:ptCount val="4"/>
                <c:pt idx="0">
                  <c:v>2022</c:v>
                </c:pt>
                <c:pt idx="1">
                  <c:v>2023</c:v>
                </c:pt>
                <c:pt idx="2">
                  <c:v>2024</c:v>
                </c:pt>
                <c:pt idx="3">
                  <c:v>2025</c:v>
                </c:pt>
              </c:strCache>
            </c:strRef>
          </c:cat>
          <c:val>
            <c:numRef>
              <c:f>'25-نسب ومعدلات مشتقة'!$B$21:$E$21</c:f>
              <c:numCache>
                <c:formatCode>General</c:formatCode>
                <c:ptCount val="4"/>
                <c:pt idx="0">
                  <c:v>5</c:v>
                </c:pt>
                <c:pt idx="1">
                  <c:v>23</c:v>
                </c:pt>
                <c:pt idx="2">
                  <c:v>-14</c:v>
                </c:pt>
                <c:pt idx="3">
                  <c:v>-20</c:v>
                </c:pt>
              </c:numCache>
            </c:numRef>
          </c:val>
          <c:extLst>
            <c:ext xmlns:c16="http://schemas.microsoft.com/office/drawing/2014/chart" uri="{C3380CC4-5D6E-409C-BE32-E72D297353CC}">
              <c16:uniqueId val="{00000006-6958-4724-88B4-05B864D7D43B}"/>
            </c:ext>
          </c:extLst>
        </c:ser>
        <c:dLbls>
          <c:showLegendKey val="0"/>
          <c:showVal val="0"/>
          <c:showCatName val="0"/>
          <c:showSerName val="0"/>
          <c:showPercent val="0"/>
          <c:showBubbleSize val="0"/>
        </c:dLbls>
        <c:gapWidth val="150"/>
        <c:axId val="35336878"/>
        <c:axId val="40682152"/>
      </c:barChart>
      <c:catAx>
        <c:axId val="3533687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682152"/>
        <c:crosses val="autoZero"/>
        <c:auto val="1"/>
        <c:lblAlgn val="ctr"/>
        <c:lblOffset val="100"/>
        <c:noMultiLvlLbl val="0"/>
      </c:catAx>
      <c:valAx>
        <c:axId val="40682152"/>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53368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26. عدد ملفات التحقيق الأولي المنتهية لوجود ملف تحقيقي آخر لدى نيابة جرائم الفسا</a:t>
            </a:r>
          </a:p>
        </c:rich>
      </c:tx>
      <c:overlay val="0"/>
      <c:spPr>
        <a:noFill/>
        <a:ln w="0">
          <a:noFill/>
        </a:ln>
      </c:spPr>
    </c:title>
    <c:autoTitleDeleted val="0"/>
    <c:plotArea>
      <c:layout/>
      <c:barChart>
        <c:barDir val="col"/>
        <c:grouping val="clustered"/>
        <c:varyColors val="0"/>
        <c:ser>
          <c:idx val="0"/>
          <c:order val="0"/>
          <c:tx>
            <c:strRef>
              <c:f>'26-منتهية (ملف مماثل بالنيابة)'!$A$5</c:f>
              <c:strCache>
                <c:ptCount val="1"/>
                <c:pt idx="0">
                  <c:v>عدد الملفات المنتهية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'26-منتهية (ملف مماثل بالنيابة)'!$B$4:$E$4</c:f>
              <c:strCache>
                <c:ptCount val="4"/>
                <c:pt idx="0">
                  <c:v>2022</c:v>
                </c:pt>
                <c:pt idx="1">
                  <c:v>2023</c:v>
                </c:pt>
                <c:pt idx="2">
                  <c:v>2024</c:v>
                </c:pt>
                <c:pt idx="3">
                  <c:v>2025</c:v>
                </c:pt>
              </c:strCache>
            </c:strRef>
          </c:cat>
          <c:val>
            <c:numRef>
              <c:f>'26-منتهية (ملف مماثل بالنيابة)'!$B$5:$E$5</c:f>
              <c:numCache>
                <c:formatCode>General</c:formatCode>
                <c:ptCount val="4"/>
                <c:pt idx="0">
                  <c:v>6</c:v>
                </c:pt>
                <c:pt idx="1">
                  <c:v>1</c:v>
                </c:pt>
                <c:pt idx="2">
                  <c:v>0</c:v>
                </c:pt>
                <c:pt idx="3">
                  <c:v>2</c:v>
                </c:pt>
              </c:numCache>
            </c:numRef>
          </c:val>
          <c:extLst>
            <c:ext xmlns:c16="http://schemas.microsoft.com/office/drawing/2014/chart" uri="{C3380CC4-5D6E-409C-BE32-E72D297353CC}">
              <c16:uniqueId val="{00000000-E31C-4E20-B2E4-C8D2A307F11E}"/>
            </c:ext>
          </c:extLst>
        </c:ser>
        <c:ser>
          <c:idx val="1"/>
          <c:order val="1"/>
          <c:tx>
            <c:strRef>
              <c:f>'26-منتهية (ملف مماثل بالنيابة)'!$A$6</c:f>
              <c:strCache>
                <c:ptCount val="1"/>
                <c:pt idx="0">
                  <c:v>عدد الشكاوى والبلاغات المغلقة بموجبها</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'26-منتهية (ملف مماثل بالنيابة)'!$B$4:$E$4</c:f>
              <c:strCache>
                <c:ptCount val="4"/>
                <c:pt idx="0">
                  <c:v>2022</c:v>
                </c:pt>
                <c:pt idx="1">
                  <c:v>2023</c:v>
                </c:pt>
                <c:pt idx="2">
                  <c:v>2024</c:v>
                </c:pt>
                <c:pt idx="3">
                  <c:v>2025</c:v>
                </c:pt>
              </c:strCache>
            </c:strRef>
          </c:cat>
          <c:val>
            <c:numRef>
              <c:f>'26-منتهية (ملف مماثل بالنيابة)'!$B$6:$E$6</c:f>
              <c:numCache>
                <c:formatCode>General</c:formatCode>
                <c:ptCount val="4"/>
                <c:pt idx="0">
                  <c:v>6</c:v>
                </c:pt>
                <c:pt idx="1">
                  <c:v>1</c:v>
                </c:pt>
                <c:pt idx="2">
                  <c:v>0</c:v>
                </c:pt>
                <c:pt idx="3">
                  <c:v>2</c:v>
                </c:pt>
              </c:numCache>
            </c:numRef>
          </c:val>
          <c:extLst>
            <c:ext xmlns:c16="http://schemas.microsoft.com/office/drawing/2014/chart" uri="{C3380CC4-5D6E-409C-BE32-E72D297353CC}">
              <c16:uniqueId val="{00000001-E31C-4E20-B2E4-C8D2A307F11E}"/>
            </c:ext>
          </c:extLst>
        </c:ser>
        <c:dLbls>
          <c:showLegendKey val="0"/>
          <c:showVal val="0"/>
          <c:showCatName val="0"/>
          <c:showSerName val="0"/>
          <c:showPercent val="0"/>
          <c:showBubbleSize val="0"/>
        </c:dLbls>
        <c:gapWidth val="150"/>
        <c:axId val="7823521"/>
        <c:axId val="62731224"/>
      </c:barChart>
      <c:catAx>
        <c:axId val="782352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731224"/>
        <c:crosses val="autoZero"/>
        <c:auto val="1"/>
        <c:lblAlgn val="ctr"/>
        <c:lblOffset val="100"/>
        <c:noMultiLvlLbl val="0"/>
      </c:catAx>
      <c:valAx>
        <c:axId val="6273122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235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أ) تفصيل حسب نوع القرار (شكاوى جديدة/ملحقة)</a:t>
            </a:r>
          </a:p>
        </c:rich>
      </c:tx>
      <c:overlay val="0"/>
      <c:spPr>
        <a:noFill/>
        <a:ln w="0">
          <a:noFill/>
        </a:ln>
      </c:spPr>
    </c:title>
    <c:autoTitleDeleted val="0"/>
    <c:plotArea>
      <c:layout/>
      <c:barChart>
        <c:barDir val="col"/>
        <c:grouping val="clustered"/>
        <c:varyColors val="0"/>
        <c:ser>
          <c:idx val="0"/>
          <c:order val="0"/>
          <c:tx>
            <c:strRef>
              <c:f>'27-تفصيل حسب نوع القرار'!$A$6</c:f>
              <c:strCache>
                <c:ptCount val="1"/>
                <c:pt idx="0">
                  <c:v>إحالة للنائب العام</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القرار'!$B$5:$E$5</c:f>
              <c:strCache>
                <c:ptCount val="4"/>
                <c:pt idx="0">
                  <c:v>2022</c:v>
                </c:pt>
                <c:pt idx="1">
                  <c:v>2023</c:v>
                </c:pt>
                <c:pt idx="2">
                  <c:v>2024</c:v>
                </c:pt>
                <c:pt idx="3">
                  <c:v>2025</c:v>
                </c:pt>
              </c:strCache>
            </c:strRef>
          </c:cat>
          <c:val>
            <c:numRef>
              <c:f>'27-تفصيل حسب نوع القرار'!$B$6:$E$6</c:f>
              <c:numCache>
                <c:formatCode>General</c:formatCode>
                <c:ptCount val="4"/>
                <c:pt idx="0">
                  <c:v>61</c:v>
                </c:pt>
                <c:pt idx="1">
                  <c:v>33</c:v>
                </c:pt>
                <c:pt idx="2">
                  <c:v>38</c:v>
                </c:pt>
                <c:pt idx="3">
                  <c:v>38</c:v>
                </c:pt>
              </c:numCache>
            </c:numRef>
          </c:val>
          <c:extLst>
            <c:ext xmlns:c16="http://schemas.microsoft.com/office/drawing/2014/chart" uri="{C3380CC4-5D6E-409C-BE32-E72D297353CC}">
              <c16:uniqueId val="{00000000-48CD-4064-B50E-C965283DA495}"/>
            </c:ext>
          </c:extLst>
        </c:ser>
        <c:ser>
          <c:idx val="1"/>
          <c:order val="1"/>
          <c:tx>
            <c:strRef>
              <c:f>'27-تفصيل حسب نوع القرار'!$A$7</c:f>
              <c:strCache>
                <c:ptCount val="1"/>
                <c:pt idx="0">
                  <c:v>حفظ</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القرار'!$B$5:$E$5</c:f>
              <c:strCache>
                <c:ptCount val="4"/>
                <c:pt idx="0">
                  <c:v>2022</c:v>
                </c:pt>
                <c:pt idx="1">
                  <c:v>2023</c:v>
                </c:pt>
                <c:pt idx="2">
                  <c:v>2024</c:v>
                </c:pt>
                <c:pt idx="3">
                  <c:v>2025</c:v>
                </c:pt>
              </c:strCache>
            </c:strRef>
          </c:cat>
          <c:val>
            <c:numRef>
              <c:f>'27-تفصيل حسب نوع القرار'!$B$7:$E$7</c:f>
              <c:numCache>
                <c:formatCode>General</c:formatCode>
                <c:ptCount val="4"/>
                <c:pt idx="0">
                  <c:v>148</c:v>
                </c:pt>
                <c:pt idx="1">
                  <c:v>135</c:v>
                </c:pt>
                <c:pt idx="2">
                  <c:v>103</c:v>
                </c:pt>
                <c:pt idx="3">
                  <c:v>125</c:v>
                </c:pt>
              </c:numCache>
            </c:numRef>
          </c:val>
          <c:extLst>
            <c:ext xmlns:c16="http://schemas.microsoft.com/office/drawing/2014/chart" uri="{C3380CC4-5D6E-409C-BE32-E72D297353CC}">
              <c16:uniqueId val="{00000001-48CD-4064-B50E-C965283DA495}"/>
            </c:ext>
          </c:extLst>
        </c:ser>
        <c:ser>
          <c:idx val="2"/>
          <c:order val="2"/>
          <c:tx>
            <c:strRef>
              <c:f>'27-تفصيل حسب نوع القرار'!$A$8</c:f>
              <c:strCache>
                <c:ptCount val="1"/>
                <c:pt idx="0">
                  <c:v>رد لعدم الاختصاص</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القرار'!$B$5:$E$5</c:f>
              <c:strCache>
                <c:ptCount val="4"/>
                <c:pt idx="0">
                  <c:v>2022</c:v>
                </c:pt>
                <c:pt idx="1">
                  <c:v>2023</c:v>
                </c:pt>
                <c:pt idx="2">
                  <c:v>2024</c:v>
                </c:pt>
                <c:pt idx="3">
                  <c:v>2025</c:v>
                </c:pt>
              </c:strCache>
            </c:strRef>
          </c:cat>
          <c:val>
            <c:numRef>
              <c:f>'27-تفصيل حسب نوع القرار'!$B$8:$E$8</c:f>
              <c:numCache>
                <c:formatCode>General</c:formatCode>
                <c:ptCount val="4"/>
                <c:pt idx="0">
                  <c:v>13</c:v>
                </c:pt>
                <c:pt idx="1">
                  <c:v>5</c:v>
                </c:pt>
                <c:pt idx="2">
                  <c:v>2</c:v>
                </c:pt>
                <c:pt idx="3">
                  <c:v>8</c:v>
                </c:pt>
              </c:numCache>
            </c:numRef>
          </c:val>
          <c:extLst>
            <c:ext xmlns:c16="http://schemas.microsoft.com/office/drawing/2014/chart" uri="{C3380CC4-5D6E-409C-BE32-E72D297353CC}">
              <c16:uniqueId val="{00000002-48CD-4064-B50E-C965283DA495}"/>
            </c:ext>
          </c:extLst>
        </c:ser>
        <c:ser>
          <c:idx val="3"/>
          <c:order val="3"/>
          <c:tx>
            <c:strRef>
              <c:f>'27-تفصيل حسب نوع القرار'!$A$9</c:f>
              <c:strCache>
                <c:ptCount val="1"/>
                <c:pt idx="0">
                  <c:v>منتهية / تحويل للنيابة لوجود ملف مماثل</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القرار'!$B$5:$E$5</c:f>
              <c:strCache>
                <c:ptCount val="4"/>
                <c:pt idx="0">
                  <c:v>2022</c:v>
                </c:pt>
                <c:pt idx="1">
                  <c:v>2023</c:v>
                </c:pt>
                <c:pt idx="2">
                  <c:v>2024</c:v>
                </c:pt>
                <c:pt idx="3">
                  <c:v>2025</c:v>
                </c:pt>
              </c:strCache>
            </c:strRef>
          </c:cat>
          <c:val>
            <c:numRef>
              <c:f>'27-تفصيل حسب نوع القرار'!$B$9:$E$9</c:f>
              <c:numCache>
                <c:formatCode>General</c:formatCode>
                <c:ptCount val="4"/>
                <c:pt idx="0">
                  <c:v>6</c:v>
                </c:pt>
                <c:pt idx="1">
                  <c:v>1</c:v>
                </c:pt>
                <c:pt idx="2">
                  <c:v>0</c:v>
                </c:pt>
                <c:pt idx="3">
                  <c:v>2</c:v>
                </c:pt>
              </c:numCache>
            </c:numRef>
          </c:val>
          <c:extLst>
            <c:ext xmlns:c16="http://schemas.microsoft.com/office/drawing/2014/chart" uri="{C3380CC4-5D6E-409C-BE32-E72D297353CC}">
              <c16:uniqueId val="{00000003-48CD-4064-B50E-C965283DA495}"/>
            </c:ext>
          </c:extLst>
        </c:ser>
        <c:dLbls>
          <c:showLegendKey val="0"/>
          <c:showVal val="0"/>
          <c:showCatName val="0"/>
          <c:showSerName val="0"/>
          <c:showPercent val="0"/>
          <c:showBubbleSize val="0"/>
        </c:dLbls>
        <c:gapWidth val="150"/>
        <c:axId val="72857001"/>
        <c:axId val="85522019"/>
      </c:barChart>
      <c:catAx>
        <c:axId val="728570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5522019"/>
        <c:crosses val="autoZero"/>
        <c:auto val="1"/>
        <c:lblAlgn val="ctr"/>
        <c:lblOffset val="100"/>
        <c:noMultiLvlLbl val="0"/>
      </c:catAx>
      <c:valAx>
        <c:axId val="85522019"/>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8570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ب) تفصيل حسب نوع القرار (نتائج الفحص)</a:t>
            </a:r>
          </a:p>
        </c:rich>
      </c:tx>
      <c:overlay val="0"/>
      <c:spPr>
        <a:noFill/>
        <a:ln w="0">
          <a:noFill/>
        </a:ln>
      </c:spPr>
    </c:title>
    <c:autoTitleDeleted val="0"/>
    <c:plotArea>
      <c:layout/>
      <c:barChart>
        <c:barDir val="col"/>
        <c:grouping val="clustered"/>
        <c:varyColors val="0"/>
        <c:ser>
          <c:idx val="0"/>
          <c:order val="0"/>
          <c:tx>
            <c:strRef>
              <c:f>'27-تفصيل حسب نوع القرار'!$A$15</c:f>
              <c:strCache>
                <c:ptCount val="1"/>
                <c:pt idx="0">
                  <c:v>إحالة للنائب العام</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القرار'!$B$14:$E$14</c:f>
              <c:strCache>
                <c:ptCount val="4"/>
                <c:pt idx="0">
                  <c:v>2022</c:v>
                </c:pt>
                <c:pt idx="1">
                  <c:v>2023</c:v>
                </c:pt>
                <c:pt idx="2">
                  <c:v>2024</c:v>
                </c:pt>
                <c:pt idx="3">
                  <c:v>2025</c:v>
                </c:pt>
              </c:strCache>
            </c:strRef>
          </c:cat>
          <c:val>
            <c:numRef>
              <c:f>'27-تفصيل حسب نوع القرار'!$B$15:$E$15</c:f>
              <c:numCache>
                <c:formatCode>General</c:formatCode>
                <c:ptCount val="4"/>
                <c:pt idx="0">
                  <c:v>96</c:v>
                </c:pt>
                <c:pt idx="1">
                  <c:v>40</c:v>
                </c:pt>
                <c:pt idx="2">
                  <c:v>52</c:v>
                </c:pt>
                <c:pt idx="3">
                  <c:v>39</c:v>
                </c:pt>
              </c:numCache>
            </c:numRef>
          </c:val>
          <c:extLst>
            <c:ext xmlns:c16="http://schemas.microsoft.com/office/drawing/2014/chart" uri="{C3380CC4-5D6E-409C-BE32-E72D297353CC}">
              <c16:uniqueId val="{00000000-EBE6-4A51-B2DD-C052CF625E9D}"/>
            </c:ext>
          </c:extLst>
        </c:ser>
        <c:ser>
          <c:idx val="1"/>
          <c:order val="1"/>
          <c:tx>
            <c:strRef>
              <c:f>'27-تفصيل حسب نوع القرار'!$A$16</c:f>
              <c:strCache>
                <c:ptCount val="1"/>
                <c:pt idx="0">
                  <c:v>حفظ</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القرار'!$B$14:$E$14</c:f>
              <c:strCache>
                <c:ptCount val="4"/>
                <c:pt idx="0">
                  <c:v>2022</c:v>
                </c:pt>
                <c:pt idx="1">
                  <c:v>2023</c:v>
                </c:pt>
                <c:pt idx="2">
                  <c:v>2024</c:v>
                </c:pt>
                <c:pt idx="3">
                  <c:v>2025</c:v>
                </c:pt>
              </c:strCache>
            </c:strRef>
          </c:cat>
          <c:val>
            <c:numRef>
              <c:f>'27-تفصيل حسب نوع القرار'!$B$16:$E$16</c:f>
              <c:numCache>
                <c:formatCode>General</c:formatCode>
                <c:ptCount val="4"/>
                <c:pt idx="0">
                  <c:v>181</c:v>
                </c:pt>
                <c:pt idx="1">
                  <c:v>171</c:v>
                </c:pt>
                <c:pt idx="2">
                  <c:v>116</c:v>
                </c:pt>
                <c:pt idx="3">
                  <c:v>173</c:v>
                </c:pt>
              </c:numCache>
            </c:numRef>
          </c:val>
          <c:extLst>
            <c:ext xmlns:c16="http://schemas.microsoft.com/office/drawing/2014/chart" uri="{C3380CC4-5D6E-409C-BE32-E72D297353CC}">
              <c16:uniqueId val="{00000001-EBE6-4A51-B2DD-C052CF625E9D}"/>
            </c:ext>
          </c:extLst>
        </c:ser>
        <c:ser>
          <c:idx val="2"/>
          <c:order val="2"/>
          <c:tx>
            <c:strRef>
              <c:f>'27-تفصيل حسب نوع القرار'!$A$17</c:f>
              <c:strCache>
                <c:ptCount val="1"/>
                <c:pt idx="0">
                  <c:v>رد لعدم الاختصاص</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القرار'!$B$14:$E$14</c:f>
              <c:strCache>
                <c:ptCount val="4"/>
                <c:pt idx="0">
                  <c:v>2022</c:v>
                </c:pt>
                <c:pt idx="1">
                  <c:v>2023</c:v>
                </c:pt>
                <c:pt idx="2">
                  <c:v>2024</c:v>
                </c:pt>
                <c:pt idx="3">
                  <c:v>2025</c:v>
                </c:pt>
              </c:strCache>
            </c:strRef>
          </c:cat>
          <c:val>
            <c:numRef>
              <c:f>'27-تفصيل حسب نوع القرار'!$B$17:$E$17</c:f>
              <c:numCache>
                <c:formatCode>General</c:formatCode>
                <c:ptCount val="4"/>
                <c:pt idx="0">
                  <c:v>14</c:v>
                </c:pt>
                <c:pt idx="1">
                  <c:v>5</c:v>
                </c:pt>
                <c:pt idx="2">
                  <c:v>2</c:v>
                </c:pt>
                <c:pt idx="3">
                  <c:v>8</c:v>
                </c:pt>
              </c:numCache>
            </c:numRef>
          </c:val>
          <c:extLst>
            <c:ext xmlns:c16="http://schemas.microsoft.com/office/drawing/2014/chart" uri="{C3380CC4-5D6E-409C-BE32-E72D297353CC}">
              <c16:uniqueId val="{00000002-EBE6-4A51-B2DD-C052CF625E9D}"/>
            </c:ext>
          </c:extLst>
        </c:ser>
        <c:ser>
          <c:idx val="3"/>
          <c:order val="3"/>
          <c:tx>
            <c:strRef>
              <c:f>'27-تفصيل حسب نوع القرار'!$A$18</c:f>
              <c:strCache>
                <c:ptCount val="1"/>
                <c:pt idx="0">
                  <c:v>منتهية / تحويل للنيابة لوجود ملف مماثل</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'27-تفصيل حسب نوع القرار'!$B$14:$E$14</c:f>
              <c:strCache>
                <c:ptCount val="4"/>
                <c:pt idx="0">
                  <c:v>2022</c:v>
                </c:pt>
                <c:pt idx="1">
                  <c:v>2023</c:v>
                </c:pt>
                <c:pt idx="2">
                  <c:v>2024</c:v>
                </c:pt>
                <c:pt idx="3">
                  <c:v>2025</c:v>
                </c:pt>
              </c:strCache>
            </c:strRef>
          </c:cat>
          <c:val>
            <c:numRef>
              <c:f>'27-تفصيل حسب نوع القرار'!$B$18:$E$18</c:f>
              <c:numCache>
                <c:formatCode>General</c:formatCode>
                <c:ptCount val="4"/>
                <c:pt idx="0">
                  <c:v>6</c:v>
                </c:pt>
                <c:pt idx="1">
                  <c:v>1</c:v>
                </c:pt>
                <c:pt idx="2">
                  <c:v>2</c:v>
                </c:pt>
                <c:pt idx="3">
                  <c:v>2</c:v>
                </c:pt>
              </c:numCache>
            </c:numRef>
          </c:val>
          <c:extLst>
            <c:ext xmlns:c16="http://schemas.microsoft.com/office/drawing/2014/chart" uri="{C3380CC4-5D6E-409C-BE32-E72D297353CC}">
              <c16:uniqueId val="{00000003-EBE6-4A51-B2DD-C052CF625E9D}"/>
            </c:ext>
          </c:extLst>
        </c:ser>
        <c:dLbls>
          <c:showLegendKey val="0"/>
          <c:showVal val="0"/>
          <c:showCatName val="0"/>
          <c:showSerName val="0"/>
          <c:showPercent val="0"/>
          <c:showBubbleSize val="0"/>
        </c:dLbls>
        <c:gapWidth val="150"/>
        <c:axId val="67967125"/>
        <c:axId val="50798202"/>
      </c:barChart>
      <c:catAx>
        <c:axId val="679671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0798202"/>
        <c:crosses val="autoZero"/>
        <c:auto val="1"/>
        <c:lblAlgn val="ctr"/>
        <c:lblOffset val="100"/>
        <c:noMultiLvlLbl val="0"/>
      </c:catAx>
      <c:valAx>
        <c:axId val="50798202"/>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796712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28. عدد الشكاوى والبلاغات الواردة لهيئة مكافحة الفساد حسب مصدر التقديم</a:t>
            </a:r>
          </a:p>
        </c:rich>
      </c:tx>
      <c:overlay val="0"/>
      <c:spPr>
        <a:noFill/>
        <a:ln w="0">
          <a:noFill/>
        </a:ln>
      </c:spPr>
    </c:title>
    <c:autoTitleDeleted val="0"/>
    <c:plotArea>
      <c:layout/>
      <c:barChart>
        <c:barDir val="col"/>
        <c:grouping val="clustered"/>
        <c:varyColors val="0"/>
        <c:ser>
          <c:idx val="0"/>
          <c:order val="0"/>
          <c:tx>
            <c:strRef>
              <c:f>'28-الشكاوى حسب مصدر التقديم'!$B$3</c:f>
              <c:strCache>
                <c:ptCount val="1"/>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'28-الشكاوى حسب مصدر التقديم'!$A$4:$A$7</c:f>
              <c:strCache>
                <c:ptCount val="4"/>
                <c:pt idx="0">
                  <c:v>السنة</c:v>
                </c:pt>
                <c:pt idx="1">
                  <c:v>2022</c:v>
                </c:pt>
                <c:pt idx="2">
                  <c:v>2023</c:v>
                </c:pt>
                <c:pt idx="3">
                  <c:v>2024</c:v>
                </c:pt>
              </c:strCache>
            </c:strRef>
          </c:cat>
          <c:val>
            <c:numRef>
              <c:f>'28-الشكاوى حسب مصدر التقديم'!$B$4:$B$7</c:f>
              <c:numCache>
                <c:formatCode>General</c:formatCode>
                <c:ptCount val="4"/>
                <c:pt idx="0">
                  <c:v>0</c:v>
                </c:pt>
                <c:pt idx="1">
                  <c:v>346</c:v>
                </c:pt>
                <c:pt idx="2">
                  <c:v>237</c:v>
                </c:pt>
                <c:pt idx="3">
                  <c:v>278</c:v>
                </c:pt>
              </c:numCache>
            </c:numRef>
          </c:val>
          <c:extLst>
            <c:ext xmlns:c16="http://schemas.microsoft.com/office/drawing/2014/chart" uri="{C3380CC4-5D6E-409C-BE32-E72D297353CC}">
              <c16:uniqueId val="{00000000-A6A6-473B-AA51-4D551EE53A84}"/>
            </c:ext>
          </c:extLst>
        </c:ser>
        <c:ser>
          <c:idx val="1"/>
          <c:order val="1"/>
          <c:tx>
            <c:strRef>
              <c:f>'28-الشكاوى حسب مصدر التقديم'!$C$3</c:f>
              <c:strCache>
                <c:ptCount val="1"/>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'28-الشكاوى حسب مصدر التقديم'!$A$4:$A$7</c:f>
              <c:strCache>
                <c:ptCount val="4"/>
                <c:pt idx="0">
                  <c:v>السنة</c:v>
                </c:pt>
                <c:pt idx="1">
                  <c:v>2022</c:v>
                </c:pt>
                <c:pt idx="2">
                  <c:v>2023</c:v>
                </c:pt>
                <c:pt idx="3">
                  <c:v>2024</c:v>
                </c:pt>
              </c:strCache>
            </c:strRef>
          </c:cat>
          <c:val>
            <c:numRef>
              <c:f>'28-الشكاوى حسب مصدر التقديم'!$C$4:$C$7</c:f>
              <c:numCache>
                <c:formatCode>General</c:formatCode>
                <c:ptCount val="4"/>
                <c:pt idx="0">
                  <c:v>0</c:v>
                </c:pt>
                <c:pt idx="1">
                  <c:v>45</c:v>
                </c:pt>
                <c:pt idx="2">
                  <c:v>19</c:v>
                </c:pt>
                <c:pt idx="3">
                  <c:v>29</c:v>
                </c:pt>
              </c:numCache>
            </c:numRef>
          </c:val>
          <c:extLst>
            <c:ext xmlns:c16="http://schemas.microsoft.com/office/drawing/2014/chart" uri="{C3380CC4-5D6E-409C-BE32-E72D297353CC}">
              <c16:uniqueId val="{00000001-A6A6-473B-AA51-4D551EE53A84}"/>
            </c:ext>
          </c:extLst>
        </c:ser>
        <c:ser>
          <c:idx val="2"/>
          <c:order val="2"/>
          <c:tx>
            <c:strRef>
              <c:f>'28-الشكاوى حسب مصدر التقديم'!$D$3</c:f>
              <c:strCache>
                <c:ptCount val="1"/>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'28-الشكاوى حسب مصدر التقديم'!$A$4:$A$7</c:f>
              <c:strCache>
                <c:ptCount val="4"/>
                <c:pt idx="0">
                  <c:v>السنة</c:v>
                </c:pt>
                <c:pt idx="1">
                  <c:v>2022</c:v>
                </c:pt>
                <c:pt idx="2">
                  <c:v>2023</c:v>
                </c:pt>
                <c:pt idx="3">
                  <c:v>2024</c:v>
                </c:pt>
              </c:strCache>
            </c:strRef>
          </c:cat>
          <c:val>
            <c:numRef>
              <c:f>'28-الشكاوى حسب مصدر التقديم'!$D$4:$D$7</c:f>
              <c:numCache>
                <c:formatCode>General</c:formatCode>
                <c:ptCount val="4"/>
                <c:pt idx="0">
                  <c:v>0</c:v>
                </c:pt>
                <c:pt idx="1">
                  <c:v>8</c:v>
                </c:pt>
                <c:pt idx="2">
                  <c:v>7</c:v>
                </c:pt>
                <c:pt idx="3">
                  <c:v>10</c:v>
                </c:pt>
              </c:numCache>
            </c:numRef>
          </c:val>
          <c:extLst>
            <c:ext xmlns:c16="http://schemas.microsoft.com/office/drawing/2014/chart" uri="{C3380CC4-5D6E-409C-BE32-E72D297353CC}">
              <c16:uniqueId val="{00000002-A6A6-473B-AA51-4D551EE53A84}"/>
            </c:ext>
          </c:extLst>
        </c:ser>
        <c:ser>
          <c:idx val="3"/>
          <c:order val="3"/>
          <c:tx>
            <c:strRef>
              <c:f>'28-الشكاوى حسب مصدر التقديم'!$E$3</c:f>
              <c:strCache>
                <c:ptCount val="1"/>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'28-الشكاوى حسب مصدر التقديم'!$A$4:$A$7</c:f>
              <c:strCache>
                <c:ptCount val="4"/>
                <c:pt idx="0">
                  <c:v>السنة</c:v>
                </c:pt>
                <c:pt idx="1">
                  <c:v>2022</c:v>
                </c:pt>
                <c:pt idx="2">
                  <c:v>2023</c:v>
                </c:pt>
                <c:pt idx="3">
                  <c:v>2024</c:v>
                </c:pt>
              </c:strCache>
            </c:strRef>
          </c:cat>
          <c:val>
            <c:numRef>
              <c:f>'28-الشكاوى حسب مصدر التقديم'!$E$4:$E$7</c:f>
              <c:numCache>
                <c:formatCode>General</c:formatCode>
                <c:ptCount val="4"/>
                <c:pt idx="0">
                  <c:v>0</c:v>
                </c:pt>
                <c:pt idx="1">
                  <c:v>66</c:v>
                </c:pt>
                <c:pt idx="2">
                  <c:v>43</c:v>
                </c:pt>
                <c:pt idx="3">
                  <c:v>44</c:v>
                </c:pt>
              </c:numCache>
            </c:numRef>
          </c:val>
          <c:extLst>
            <c:ext xmlns:c16="http://schemas.microsoft.com/office/drawing/2014/chart" uri="{C3380CC4-5D6E-409C-BE32-E72D297353CC}">
              <c16:uniqueId val="{00000003-A6A6-473B-AA51-4D551EE53A84}"/>
            </c:ext>
          </c:extLst>
        </c:ser>
        <c:ser>
          <c:idx val="4"/>
          <c:order val="4"/>
          <c:tx>
            <c:strRef>
              <c:f>'28-الشكاوى حسب مصدر التقديم'!$F$3</c:f>
              <c:strCache>
                <c:ptCount val="1"/>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'28-الشكاوى حسب مصدر التقديم'!$A$4:$A$7</c:f>
              <c:strCache>
                <c:ptCount val="4"/>
                <c:pt idx="0">
                  <c:v>السنة</c:v>
                </c:pt>
                <c:pt idx="1">
                  <c:v>2022</c:v>
                </c:pt>
                <c:pt idx="2">
                  <c:v>2023</c:v>
                </c:pt>
                <c:pt idx="3">
                  <c:v>2024</c:v>
                </c:pt>
              </c:strCache>
            </c:strRef>
          </c:cat>
          <c:val>
            <c:numRef>
              <c:f>'28-الشكاوى حسب مصدر التقديم'!$F$4:$F$7</c:f>
              <c:numCache>
                <c:formatCode>General</c:formatCode>
                <c:ptCount val="4"/>
                <c:pt idx="0">
                  <c:v>0</c:v>
                </c:pt>
                <c:pt idx="1">
                  <c:v>414</c:v>
                </c:pt>
                <c:pt idx="2">
                  <c:v>281</c:v>
                </c:pt>
                <c:pt idx="3">
                  <c:v>309</c:v>
                </c:pt>
              </c:numCache>
            </c:numRef>
          </c:val>
          <c:extLst>
            <c:ext xmlns:c16="http://schemas.microsoft.com/office/drawing/2014/chart" uri="{C3380CC4-5D6E-409C-BE32-E72D297353CC}">
              <c16:uniqueId val="{00000004-A6A6-473B-AA51-4D551EE53A84}"/>
            </c:ext>
          </c:extLst>
        </c:ser>
        <c:dLbls>
          <c:showLegendKey val="0"/>
          <c:showVal val="0"/>
          <c:showCatName val="0"/>
          <c:showSerName val="0"/>
          <c:showPercent val="0"/>
          <c:showBubbleSize val="0"/>
        </c:dLbls>
        <c:gapWidth val="150"/>
        <c:axId val="46314460"/>
        <c:axId val="78344548"/>
      </c:barChart>
      <c:catAx>
        <c:axId val="4631446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344548"/>
        <c:crosses val="autoZero"/>
        <c:auto val="1"/>
        <c:lblAlgn val="ctr"/>
        <c:lblOffset val="100"/>
        <c:noMultiLvlLbl val="0"/>
      </c:catAx>
      <c:valAx>
        <c:axId val="78344548"/>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63144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29. تصنيف الشكاوى والبلاغات الواردة حسب التكييف الأولي لجرم الفساد المشتبه به</a:t>
            </a:r>
          </a:p>
        </c:rich>
      </c:tx>
      <c:overlay val="0"/>
      <c:spPr>
        <a:noFill/>
        <a:ln w="0">
          <a:noFill/>
        </a:ln>
      </c:spPr>
    </c:title>
    <c:autoTitleDeleted val="0"/>
    <c:plotArea>
      <c:layout/>
      <c:barChart>
        <c:barDir val="col"/>
        <c:grouping val="clustered"/>
        <c:varyColors val="0"/>
        <c:ser>
          <c:idx val="0"/>
          <c:order val="0"/>
          <c:tx>
            <c:strRef>
              <c:f>'29-الشكاوى حسب التكييف الأولي'!$A$5</c:f>
              <c:strCache>
                <c:ptCount val="1"/>
                <c:pt idx="0">
                  <c:v>التهاون في القيام بالواجبات الوظيفية</c:v>
                </c:pt>
              </c:strCache>
            </c:strRef>
          </c:tx>
          <c:spPr>
            <a:solidFill>
              <a:srgbClr val="416A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الأولي'!$B$5:$E$5</c:f>
              <c:numCache>
                <c:formatCode>General</c:formatCode>
                <c:ptCount val="4"/>
                <c:pt idx="0">
                  <c:v>15</c:v>
                </c:pt>
                <c:pt idx="1">
                  <c:v>7</c:v>
                </c:pt>
                <c:pt idx="2">
                  <c:v>10</c:v>
                </c:pt>
                <c:pt idx="3">
                  <c:v>27</c:v>
                </c:pt>
              </c:numCache>
            </c:numRef>
          </c:val>
          <c:extLst>
            <c:ext xmlns:c16="http://schemas.microsoft.com/office/drawing/2014/chart" uri="{C3380CC4-5D6E-409C-BE32-E72D297353CC}">
              <c16:uniqueId val="{00000000-6AC4-45D1-A003-5B5D1364A97C}"/>
            </c:ext>
          </c:extLst>
        </c:ser>
        <c:ser>
          <c:idx val="1"/>
          <c:order val="1"/>
          <c:tx>
            <c:strRef>
              <c:f>'29-الشكاوى حسب التكييف الأولي'!$A$6</c:f>
              <c:strCache>
                <c:ptCount val="1"/>
                <c:pt idx="0">
                  <c:v>الرشوة</c:v>
                </c:pt>
              </c:strCache>
            </c:strRef>
          </c:tx>
          <c:spPr>
            <a:solidFill>
              <a:srgbClr val="9F423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الأولي'!$B$6:$E$6</c:f>
              <c:numCache>
                <c:formatCode>General</c:formatCode>
                <c:ptCount val="4"/>
                <c:pt idx="0">
                  <c:v>16</c:v>
                </c:pt>
                <c:pt idx="1">
                  <c:v>8</c:v>
                </c:pt>
                <c:pt idx="2">
                  <c:v>12</c:v>
                </c:pt>
                <c:pt idx="3">
                  <c:v>15</c:v>
                </c:pt>
              </c:numCache>
            </c:numRef>
          </c:val>
          <c:extLst>
            <c:ext xmlns:c16="http://schemas.microsoft.com/office/drawing/2014/chart" uri="{C3380CC4-5D6E-409C-BE32-E72D297353CC}">
              <c16:uniqueId val="{00000001-6AC4-45D1-A003-5B5D1364A97C}"/>
            </c:ext>
          </c:extLst>
        </c:ser>
        <c:ser>
          <c:idx val="2"/>
          <c:order val="2"/>
          <c:tx>
            <c:strRef>
              <c:f>'29-الشكاوى حسب التكييف الأولي'!$A$7</c:f>
              <c:strCache>
                <c:ptCount val="1"/>
                <c:pt idx="0">
                  <c:v>الاختلاس</c:v>
                </c:pt>
              </c:strCache>
            </c:strRef>
          </c:tx>
          <c:spPr>
            <a:solidFill>
              <a:srgbClr val="809B4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الأولي'!$B$7:$E$7</c:f>
              <c:numCache>
                <c:formatCode>General</c:formatCode>
                <c:ptCount val="4"/>
                <c:pt idx="0">
                  <c:v>26</c:v>
                </c:pt>
                <c:pt idx="1">
                  <c:v>6</c:v>
                </c:pt>
                <c:pt idx="2">
                  <c:v>4</c:v>
                </c:pt>
                <c:pt idx="3">
                  <c:v>17</c:v>
                </c:pt>
              </c:numCache>
            </c:numRef>
          </c:val>
          <c:extLst>
            <c:ext xmlns:c16="http://schemas.microsoft.com/office/drawing/2014/chart" uri="{C3380CC4-5D6E-409C-BE32-E72D297353CC}">
              <c16:uniqueId val="{00000002-6AC4-45D1-A003-5B5D1364A97C}"/>
            </c:ext>
          </c:extLst>
        </c:ser>
        <c:ser>
          <c:idx val="3"/>
          <c:order val="3"/>
          <c:tx>
            <c:strRef>
              <c:f>'29-الشكاوى حسب التكييف الأولي'!$A$8</c:f>
              <c:strCache>
                <c:ptCount val="1"/>
                <c:pt idx="0">
                  <c:v>إساءة استعمال السلطة</c:v>
                </c:pt>
              </c:strCache>
            </c:strRef>
          </c:tx>
          <c:spPr>
            <a:solidFill>
              <a:srgbClr val="6A528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الأولي'!$B$8:$E$8</c:f>
              <c:numCache>
                <c:formatCode>General</c:formatCode>
                <c:ptCount val="4"/>
                <c:pt idx="0">
                  <c:v>668</c:v>
                </c:pt>
                <c:pt idx="1">
                  <c:v>459</c:v>
                </c:pt>
                <c:pt idx="2">
                  <c:v>577</c:v>
                </c:pt>
                <c:pt idx="3">
                  <c:v>552</c:v>
                </c:pt>
              </c:numCache>
            </c:numRef>
          </c:val>
          <c:extLst>
            <c:ext xmlns:c16="http://schemas.microsoft.com/office/drawing/2014/chart" uri="{C3380CC4-5D6E-409C-BE32-E72D297353CC}">
              <c16:uniqueId val="{00000003-6AC4-45D1-A003-5B5D1364A97C}"/>
            </c:ext>
          </c:extLst>
        </c:ser>
        <c:ser>
          <c:idx val="4"/>
          <c:order val="4"/>
          <c:tx>
            <c:strRef>
              <c:f>'29-الشكاوى حسب التكييف الأولي'!$A$9</c:f>
              <c:strCache>
                <c:ptCount val="1"/>
                <c:pt idx="0">
                  <c:v>التزوير والتزييف</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الأولي'!$B$9:$E$9</c:f>
              <c:numCache>
                <c:formatCode>General</c:formatCode>
                <c:ptCount val="4"/>
                <c:pt idx="0">
                  <c:v>41</c:v>
                </c:pt>
                <c:pt idx="1">
                  <c:v>39</c:v>
                </c:pt>
                <c:pt idx="2">
                  <c:v>25</c:v>
                </c:pt>
                <c:pt idx="3">
                  <c:v>69</c:v>
                </c:pt>
              </c:numCache>
            </c:numRef>
          </c:val>
          <c:extLst>
            <c:ext xmlns:c16="http://schemas.microsoft.com/office/drawing/2014/chart" uri="{C3380CC4-5D6E-409C-BE32-E72D297353CC}">
              <c16:uniqueId val="{00000004-6AC4-45D1-A003-5B5D1364A97C}"/>
            </c:ext>
          </c:extLst>
        </c:ser>
        <c:ser>
          <c:idx val="5"/>
          <c:order val="5"/>
          <c:tx>
            <c:strRef>
              <c:f>'29-الشكاوى حسب التكييف الأولي'!$A$10</c:f>
              <c:strCache>
                <c:ptCount val="1"/>
                <c:pt idx="0">
                  <c:v>قبول الواسطة والمحسوبية والمحاباة</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الأولي'!$B$10:$E$10</c:f>
              <c:numCache>
                <c:formatCode>General</c:formatCode>
                <c:ptCount val="4"/>
                <c:pt idx="0">
                  <c:v>39</c:v>
                </c:pt>
                <c:pt idx="1">
                  <c:v>10</c:v>
                </c:pt>
                <c:pt idx="2">
                  <c:v>11</c:v>
                </c:pt>
                <c:pt idx="3">
                  <c:v>81</c:v>
                </c:pt>
              </c:numCache>
            </c:numRef>
          </c:val>
          <c:extLst>
            <c:ext xmlns:c16="http://schemas.microsoft.com/office/drawing/2014/chart" uri="{C3380CC4-5D6E-409C-BE32-E72D297353CC}">
              <c16:uniqueId val="{00000005-6AC4-45D1-A003-5B5D1364A97C}"/>
            </c:ext>
          </c:extLst>
        </c:ser>
        <c:ser>
          <c:idx val="6"/>
          <c:order val="6"/>
          <c:tx>
            <c:strRef>
              <c:f>'29-الشكاوى حسب التكييف الأولي'!$A$11</c:f>
              <c:strCache>
                <c:ptCount val="1"/>
                <c:pt idx="0">
                  <c:v>استثمار الوظيفة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الأولي'!$B$11:$E$11</c:f>
              <c:numCache>
                <c:formatCode>General</c:formatCode>
                <c:ptCount val="4"/>
                <c:pt idx="0">
                  <c:v>8</c:v>
                </c:pt>
                <c:pt idx="1">
                  <c:v>0</c:v>
                </c:pt>
                <c:pt idx="2">
                  <c:v>0</c:v>
                </c:pt>
                <c:pt idx="3">
                  <c:v>0</c:v>
                </c:pt>
              </c:numCache>
            </c:numRef>
          </c:val>
          <c:extLst>
            <c:ext xmlns:c16="http://schemas.microsoft.com/office/drawing/2014/chart" uri="{C3380CC4-5D6E-409C-BE32-E72D297353CC}">
              <c16:uniqueId val="{00000006-6AC4-45D1-A003-5B5D1364A97C}"/>
            </c:ext>
          </c:extLst>
        </c:ser>
        <c:ser>
          <c:idx val="7"/>
          <c:order val="7"/>
          <c:tx>
            <c:strRef>
              <c:f>'29-الشكاوى حسب التكييف الأولي'!$A$12</c:f>
              <c:strCache>
                <c:ptCount val="1"/>
                <c:pt idx="0">
                  <c:v>إساءة الائتمان</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الأولي'!$B$12:$E$12</c:f>
              <c:numCache>
                <c:formatCode>General</c:formatCode>
                <c:ptCount val="4"/>
                <c:pt idx="0">
                  <c:v>5</c:v>
                </c:pt>
                <c:pt idx="1">
                  <c:v>1</c:v>
                </c:pt>
                <c:pt idx="2">
                  <c:v>4</c:v>
                </c:pt>
                <c:pt idx="3">
                  <c:v>7</c:v>
                </c:pt>
              </c:numCache>
            </c:numRef>
          </c:val>
          <c:extLst>
            <c:ext xmlns:c16="http://schemas.microsoft.com/office/drawing/2014/chart" uri="{C3380CC4-5D6E-409C-BE32-E72D297353CC}">
              <c16:uniqueId val="{00000007-6AC4-45D1-A003-5B5D1364A97C}"/>
            </c:ext>
          </c:extLst>
        </c:ser>
        <c:ser>
          <c:idx val="8"/>
          <c:order val="8"/>
          <c:tx>
            <c:strRef>
              <c:f>'29-الشكاوى حسب التكييف الأولي'!$A$13</c:f>
              <c:strCache>
                <c:ptCount val="1"/>
                <c:pt idx="0">
                  <c:v>الكسب غير المشروع</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الأولي'!$B$13:$E$13</c:f>
              <c:numCache>
                <c:formatCode>General</c:formatCode>
                <c:ptCount val="4"/>
                <c:pt idx="0">
                  <c:v>5</c:v>
                </c:pt>
                <c:pt idx="1">
                  <c:v>2</c:v>
                </c:pt>
                <c:pt idx="2">
                  <c:v>1</c:v>
                </c:pt>
                <c:pt idx="3">
                  <c:v>10</c:v>
                </c:pt>
              </c:numCache>
            </c:numRef>
          </c:val>
          <c:extLst>
            <c:ext xmlns:c16="http://schemas.microsoft.com/office/drawing/2014/chart" uri="{C3380CC4-5D6E-409C-BE32-E72D297353CC}">
              <c16:uniqueId val="{00000008-6AC4-45D1-A003-5B5D1364A97C}"/>
            </c:ext>
          </c:extLst>
        </c:ser>
        <c:ser>
          <c:idx val="9"/>
          <c:order val="9"/>
          <c:tx>
            <c:strRef>
              <c:f>'29-الشكاوى حسب التكييف الأولي'!$A$14</c:f>
              <c:strCache>
                <c:ptCount val="1"/>
                <c:pt idx="0">
                  <c:v>عدم الإفصاح عن تضارب المصالح</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الأولي'!$B$14:$E$14</c:f>
              <c:numCache>
                <c:formatCode>General</c:formatCode>
                <c:ptCount val="4"/>
                <c:pt idx="0">
                  <c:v>16</c:v>
                </c:pt>
                <c:pt idx="1">
                  <c:v>4</c:v>
                </c:pt>
                <c:pt idx="2">
                  <c:v>3</c:v>
                </c:pt>
                <c:pt idx="3">
                  <c:v>9</c:v>
                </c:pt>
              </c:numCache>
            </c:numRef>
          </c:val>
          <c:extLst>
            <c:ext xmlns:c16="http://schemas.microsoft.com/office/drawing/2014/chart" uri="{C3380CC4-5D6E-409C-BE32-E72D297353CC}">
              <c16:uniqueId val="{00000009-6AC4-45D1-A003-5B5D1364A97C}"/>
            </c:ext>
          </c:extLst>
        </c:ser>
        <c:ser>
          <c:idx val="10"/>
          <c:order val="10"/>
          <c:tx>
            <c:strRef>
              <c:f>'29-الشكاوى حسب التكييف الأولي'!$A$15</c:f>
              <c:strCache>
                <c:ptCount val="1"/>
                <c:pt idx="0">
                  <c:v>غسل الأموال الناتجة عن جرائم فساد</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الأولي'!$B$15:$E$15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A-6AC4-45D1-A003-5B5D1364A97C}"/>
            </c:ext>
          </c:extLst>
        </c:ser>
        <c:ser>
          <c:idx val="11"/>
          <c:order val="11"/>
          <c:tx>
            <c:strRef>
              <c:f>'29-الشكاوى حسب التكييف الأولي'!$A$16</c:f>
              <c:strCache>
                <c:ptCount val="1"/>
                <c:pt idx="0">
                  <c:v>المتاجرة بالنفوذ</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الأولي'!$B$16:$E$16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B-6AC4-45D1-A003-5B5D1364A97C}"/>
            </c:ext>
          </c:extLst>
        </c:ser>
        <c:ser>
          <c:idx val="12"/>
          <c:order val="12"/>
          <c:tx>
            <c:strRef>
              <c:f>'29-الشكاوى حسب التكييف الأولي'!$A$17</c:f>
              <c:strCache>
                <c:ptCount val="1"/>
                <c:pt idx="0">
                  <c:v>إعاقة سير العدالة</c:v>
                </c:pt>
              </c:strCache>
            </c:strRef>
          </c:tx>
          <c:spPr>
            <a:solidFill>
              <a:srgbClr val="AABAD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الأولي'!$B$17:$E$17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C-6AC4-45D1-A003-5B5D1364A97C}"/>
            </c:ext>
          </c:extLst>
        </c:ser>
        <c:ser>
          <c:idx val="13"/>
          <c:order val="13"/>
          <c:tx>
            <c:strRef>
              <c:f>'29-الشكاوى حسب التكييف الأولي'!$A$18</c:f>
              <c:strCache>
                <c:ptCount val="1"/>
                <c:pt idx="0">
                  <c:v>عدم اختصاص قبل مرحلة التحري</c:v>
                </c:pt>
              </c:strCache>
            </c:strRef>
          </c:tx>
          <c:spPr>
            <a:solidFill>
              <a:srgbClr val="D8AAA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'29-الشكاوى حسب التكييف الأولي'!$B$4:$E$4</c:f>
              <c:strCache>
                <c:ptCount val="4"/>
                <c:pt idx="0">
                  <c:v>2022</c:v>
                </c:pt>
                <c:pt idx="1">
                  <c:v>2023</c:v>
                </c:pt>
                <c:pt idx="2">
                  <c:v>2024</c:v>
                </c:pt>
                <c:pt idx="3">
                  <c:v>2025</c:v>
                </c:pt>
              </c:strCache>
            </c:strRef>
          </c:cat>
          <c:val>
            <c:numRef>
              <c:f>'29-الشكاوى حسب التكييف الأولي'!$B$18:$E$18</c:f>
              <c:numCache>
                <c:formatCode>General</c:formatCode>
                <c:ptCount val="4"/>
                <c:pt idx="0">
                  <c:v>40</c:v>
                </c:pt>
                <c:pt idx="1">
                  <c:v>51</c:v>
                </c:pt>
                <c:pt idx="2">
                  <c:v>23</c:v>
                </c:pt>
                <c:pt idx="3">
                  <c:v>0</c:v>
                </c:pt>
              </c:numCache>
            </c:numRef>
          </c:val>
          <c:extLst>
            <c:ext xmlns:c16="http://schemas.microsoft.com/office/drawing/2014/chart" uri="{C3380CC4-5D6E-409C-BE32-E72D297353CC}">
              <c16:uniqueId val="{0000000D-6AC4-45D1-A003-5B5D1364A97C}"/>
            </c:ext>
          </c:extLst>
        </c:ser>
        <c:dLbls>
          <c:showLegendKey val="0"/>
          <c:showVal val="0"/>
          <c:showCatName val="0"/>
          <c:showSerName val="0"/>
          <c:showPercent val="0"/>
          <c:showBubbleSize val="0"/>
        </c:dLbls>
        <c:gapWidth val="150"/>
        <c:axId val="90344828"/>
        <c:axId val="604165"/>
      </c:barChart>
      <c:catAx>
        <c:axId val="9034482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04165"/>
        <c:crosses val="autoZero"/>
        <c:auto val="1"/>
        <c:lblAlgn val="ctr"/>
        <c:lblOffset val="100"/>
        <c:noMultiLvlLbl val="0"/>
      </c:catAx>
      <c:valAx>
        <c:axId val="60416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3448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30. توزيع الشكاوى والبلاغات الواردة حسب القطاع</a:t>
            </a:r>
          </a:p>
        </c:rich>
      </c:tx>
      <c:overlay val="0"/>
      <c:spPr>
        <a:noFill/>
        <a:ln w="0">
          <a:noFill/>
        </a:ln>
      </c:spPr>
    </c:title>
    <c:autoTitleDeleted val="0"/>
    <c:plotArea>
      <c:layout/>
      <c:barChart>
        <c:barDir val="col"/>
        <c:grouping val="clustered"/>
        <c:varyColors val="0"/>
        <c:ser>
          <c:idx val="0"/>
          <c:order val="0"/>
          <c:tx>
            <c:strRef>
              <c:f>'30-الشكاوى حسب القطاع'!$A$5</c:f>
              <c:strCache>
                <c:ptCount val="1"/>
                <c:pt idx="0">
                  <c:v>مؤسسات عامة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القطاع'!$B$5:$E$5</c:f>
              <c:numCache>
                <c:formatCode>General</c:formatCode>
                <c:ptCount val="4"/>
                <c:pt idx="0">
                  <c:v>455</c:v>
                </c:pt>
                <c:pt idx="1">
                  <c:v>462</c:v>
                </c:pt>
                <c:pt idx="2">
                  <c:v>353</c:v>
                </c:pt>
                <c:pt idx="3">
                  <c:v>364</c:v>
                </c:pt>
              </c:numCache>
            </c:numRef>
          </c:val>
          <c:extLst>
            <c:ext xmlns:c16="http://schemas.microsoft.com/office/drawing/2014/chart" uri="{C3380CC4-5D6E-409C-BE32-E72D297353CC}">
              <c16:uniqueId val="{00000000-027B-4907-84F1-93708941BAEE}"/>
            </c:ext>
          </c:extLst>
        </c:ser>
        <c:ser>
          <c:idx val="1"/>
          <c:order val="1"/>
          <c:tx>
            <c:strRef>
              <c:f>'30-الشكاوى حسب القطاع'!$A$6</c:f>
              <c:strCache>
                <c:ptCount val="1"/>
                <c:pt idx="0">
                  <c:v>هيئات محلية</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القطاع'!$B$6:$E$6</c:f>
              <c:numCache>
                <c:formatCode>General</c:formatCode>
                <c:ptCount val="4"/>
                <c:pt idx="0">
                  <c:v>299</c:v>
                </c:pt>
                <c:pt idx="1">
                  <c:v>257</c:v>
                </c:pt>
                <c:pt idx="2">
                  <c:v>237</c:v>
                </c:pt>
                <c:pt idx="3">
                  <c:v>311</c:v>
                </c:pt>
              </c:numCache>
            </c:numRef>
          </c:val>
          <c:extLst>
            <c:ext xmlns:c16="http://schemas.microsoft.com/office/drawing/2014/chart" uri="{C3380CC4-5D6E-409C-BE32-E72D297353CC}">
              <c16:uniqueId val="{00000001-027B-4907-84F1-93708941BAEE}"/>
            </c:ext>
          </c:extLst>
        </c:ser>
        <c:ser>
          <c:idx val="2"/>
          <c:order val="2"/>
          <c:tx>
            <c:strRef>
              <c:f>'30-الشكاوى حسب القطاع'!$A$7</c:f>
              <c:strCache>
                <c:ptCount val="1"/>
                <c:pt idx="0">
                  <c:v>مؤسسات المجتمع المدني</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القطاع'!$B$7:$E$7</c:f>
              <c:numCache>
                <c:formatCode>General</c:formatCode>
                <c:ptCount val="4"/>
                <c:pt idx="0">
                  <c:v>0</c:v>
                </c:pt>
                <c:pt idx="1">
                  <c:v>30</c:v>
                </c:pt>
                <c:pt idx="2">
                  <c:v>43</c:v>
                </c:pt>
                <c:pt idx="3">
                  <c:v>53</c:v>
                </c:pt>
              </c:numCache>
            </c:numRef>
          </c:val>
          <c:extLst>
            <c:ext xmlns:c16="http://schemas.microsoft.com/office/drawing/2014/chart" uri="{C3380CC4-5D6E-409C-BE32-E72D297353CC}">
              <c16:uniqueId val="{00000002-027B-4907-84F1-93708941BAEE}"/>
            </c:ext>
          </c:extLst>
        </c:ser>
        <c:ser>
          <c:idx val="3"/>
          <c:order val="3"/>
          <c:tx>
            <c:strRef>
              <c:f>'30-الشكاوى حسب القطاع'!$A$8</c:f>
              <c:strCache>
                <c:ptCount val="1"/>
                <c:pt idx="0">
                  <c:v>قطاع خاص</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القطاع'!$B$8:$E$8</c:f>
              <c:numCache>
                <c:formatCode>General</c:formatCode>
                <c:ptCount val="4"/>
                <c:pt idx="0">
                  <c:v>0</c:v>
                </c:pt>
                <c:pt idx="1">
                  <c:v>13</c:v>
                </c:pt>
                <c:pt idx="2">
                  <c:v>11</c:v>
                </c:pt>
                <c:pt idx="3">
                  <c:v>20</c:v>
                </c:pt>
              </c:numCache>
            </c:numRef>
          </c:val>
          <c:extLst>
            <c:ext xmlns:c16="http://schemas.microsoft.com/office/drawing/2014/chart" uri="{C3380CC4-5D6E-409C-BE32-E72D297353CC}">
              <c16:uniqueId val="{00000003-027B-4907-84F1-93708941BAEE}"/>
            </c:ext>
          </c:extLst>
        </c:ser>
        <c:ser>
          <c:idx val="4"/>
          <c:order val="4"/>
          <c:tx>
            <c:strRef>
              <c:f>'30-الشكاوى حسب القطاع'!$A$9</c:f>
              <c:strCache>
                <c:ptCount val="1"/>
                <c:pt idx="0">
                  <c:v>مؤسسات تعليمية ومراكز بحثية</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القطاع'!$B$9:$E$9</c:f>
              <c:numCache>
                <c:formatCode>General</c:formatCode>
                <c:ptCount val="4"/>
                <c:pt idx="0">
                  <c:v>13</c:v>
                </c:pt>
                <c:pt idx="1">
                  <c:v>13</c:v>
                </c:pt>
                <c:pt idx="2">
                  <c:v>17</c:v>
                </c:pt>
                <c:pt idx="3">
                  <c:v>19</c:v>
                </c:pt>
              </c:numCache>
            </c:numRef>
          </c:val>
          <c:extLst>
            <c:ext xmlns:c16="http://schemas.microsoft.com/office/drawing/2014/chart" uri="{C3380CC4-5D6E-409C-BE32-E72D297353CC}">
              <c16:uniqueId val="{00000004-027B-4907-84F1-93708941BAEE}"/>
            </c:ext>
          </c:extLst>
        </c:ser>
        <c:ser>
          <c:idx val="5"/>
          <c:order val="5"/>
          <c:tx>
            <c:strRef>
              <c:f>'30-الشكاوى حسب القطاع'!$A$10</c:f>
              <c:strCache>
                <c:ptCount val="1"/>
                <c:pt idx="0">
                  <c:v>مؤسسات دولية</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القطاع'!$B$10:$E$10</c:f>
              <c:numCache>
                <c:formatCode>General</c:formatCode>
                <c:ptCount val="4"/>
                <c:pt idx="0">
                  <c:v>0</c:v>
                </c:pt>
                <c:pt idx="1">
                  <c:v>1</c:v>
                </c:pt>
                <c:pt idx="2">
                  <c:v>2</c:v>
                </c:pt>
                <c:pt idx="3">
                  <c:v>3</c:v>
                </c:pt>
              </c:numCache>
            </c:numRef>
          </c:val>
          <c:extLst>
            <c:ext xmlns:c16="http://schemas.microsoft.com/office/drawing/2014/chart" uri="{C3380CC4-5D6E-409C-BE32-E72D297353CC}">
              <c16:uniqueId val="{00000005-027B-4907-84F1-93708941BAEE}"/>
            </c:ext>
          </c:extLst>
        </c:ser>
        <c:ser>
          <c:idx val="6"/>
          <c:order val="6"/>
          <c:tx>
            <c:strRef>
              <c:f>'30-الشكاوى حسب القطاع'!$A$11</c:f>
              <c:strCache>
                <c:ptCount val="1"/>
                <c:pt idx="0">
                  <c:v>مكلفون بأداء خدمة عامة</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القطاع'!$B$11:$E$11</c:f>
              <c:numCache>
                <c:formatCode>General</c:formatCode>
                <c:ptCount val="4"/>
                <c:pt idx="0">
                  <c:v>0</c:v>
                </c:pt>
                <c:pt idx="1">
                  <c:v>1</c:v>
                </c:pt>
                <c:pt idx="2">
                  <c:v>1</c:v>
                </c:pt>
                <c:pt idx="3">
                  <c:v>1</c:v>
                </c:pt>
              </c:numCache>
            </c:numRef>
          </c:val>
          <c:extLst>
            <c:ext xmlns:c16="http://schemas.microsoft.com/office/drawing/2014/chart" uri="{C3380CC4-5D6E-409C-BE32-E72D297353CC}">
              <c16:uniqueId val="{00000006-027B-4907-84F1-93708941BAEE}"/>
            </c:ext>
          </c:extLst>
        </c:ser>
        <c:ser>
          <c:idx val="7"/>
          <c:order val="7"/>
          <c:tx>
            <c:strRef>
              <c:f>'30-الشكاوى حسب القطاع'!$A$12</c:f>
              <c:strCache>
                <c:ptCount val="1"/>
                <c:pt idx="0">
                  <c:v>مؤسسات منظمة التحرير</c:v>
                </c:pt>
              </c:strCache>
            </c:strRef>
          </c:tx>
          <c:spPr>
            <a:solidFill>
              <a:srgbClr val="D0949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القطاع'!$B$12:$E$12</c:f>
              <c:numCache>
                <c:formatCode>General</c:formatCode>
                <c:ptCount val="4"/>
                <c:pt idx="0">
                  <c:v>0</c:v>
                </c:pt>
                <c:pt idx="1">
                  <c:v>8</c:v>
                </c:pt>
                <c:pt idx="2">
                  <c:v>6</c:v>
                </c:pt>
                <c:pt idx="3">
                  <c:v>5</c:v>
                </c:pt>
              </c:numCache>
            </c:numRef>
          </c:val>
          <c:extLst>
            <c:ext xmlns:c16="http://schemas.microsoft.com/office/drawing/2014/chart" uri="{C3380CC4-5D6E-409C-BE32-E72D297353CC}">
              <c16:uniqueId val="{00000007-027B-4907-84F1-93708941BAEE}"/>
            </c:ext>
          </c:extLst>
        </c:ser>
        <c:ser>
          <c:idx val="8"/>
          <c:order val="8"/>
          <c:tx>
            <c:strRef>
              <c:f>'30-الشكاوى حسب القطاع'!$A$13</c:f>
              <c:strCache>
                <c:ptCount val="1"/>
                <c:pt idx="0">
                  <c:v>غير خاضعين</c:v>
                </c:pt>
              </c:strCache>
            </c:strRef>
          </c:tx>
          <c:spPr>
            <a:solidFill>
              <a:srgbClr val="B8CD9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القطاع'!$B$13:$E$13</c:f>
              <c:numCache>
                <c:formatCode>General</c:formatCode>
                <c:ptCount val="4"/>
                <c:pt idx="0">
                  <c:v>12</c:v>
                </c:pt>
                <c:pt idx="1">
                  <c:v>0</c:v>
                </c:pt>
                <c:pt idx="2">
                  <c:v>0</c:v>
                </c:pt>
                <c:pt idx="3">
                  <c:v>11</c:v>
                </c:pt>
              </c:numCache>
            </c:numRef>
          </c:val>
          <c:extLst>
            <c:ext xmlns:c16="http://schemas.microsoft.com/office/drawing/2014/chart" uri="{C3380CC4-5D6E-409C-BE32-E72D297353CC}">
              <c16:uniqueId val="{00000008-027B-4907-84F1-93708941BAEE}"/>
            </c:ext>
          </c:extLst>
        </c:ser>
        <c:ser>
          <c:idx val="9"/>
          <c:order val="9"/>
          <c:tx>
            <c:strRef>
              <c:f>'30-الشكاوى حسب القطاع'!$A$14</c:f>
              <c:strCache>
                <c:ptCount val="1"/>
                <c:pt idx="0">
                  <c:v>أخرى</c:v>
                </c:pt>
              </c:strCache>
            </c:strRef>
          </c:tx>
          <c:spPr>
            <a:solidFill>
              <a:srgbClr val="A99B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'30-الشكاوى حسب القطاع'!$B$4:$E$4</c:f>
              <c:strCache>
                <c:ptCount val="4"/>
                <c:pt idx="0">
                  <c:v>2022</c:v>
                </c:pt>
                <c:pt idx="1">
                  <c:v>2023</c:v>
                </c:pt>
                <c:pt idx="2">
                  <c:v>2024</c:v>
                </c:pt>
                <c:pt idx="3">
                  <c:v>2025</c:v>
                </c:pt>
              </c:strCache>
            </c:strRef>
          </c:cat>
          <c:val>
            <c:numRef>
              <c:f>'30-الشكاوى حسب القطاع'!$B$14:$E$14</c:f>
              <c:numCache>
                <c:formatCode>General</c:formatCode>
                <c:ptCount val="4"/>
                <c:pt idx="0">
                  <c:v>100</c:v>
                </c:pt>
                <c:pt idx="1">
                  <c:v>0</c:v>
                </c:pt>
                <c:pt idx="2">
                  <c:v>0</c:v>
                </c:pt>
                <c:pt idx="3">
                  <c:v>0</c:v>
                </c:pt>
              </c:numCache>
            </c:numRef>
          </c:val>
          <c:extLst>
            <c:ext xmlns:c16="http://schemas.microsoft.com/office/drawing/2014/chart" uri="{C3380CC4-5D6E-409C-BE32-E72D297353CC}">
              <c16:uniqueId val="{00000009-027B-4907-84F1-93708941BAEE}"/>
            </c:ext>
          </c:extLst>
        </c:ser>
        <c:dLbls>
          <c:showLegendKey val="0"/>
          <c:showVal val="0"/>
          <c:showCatName val="0"/>
          <c:showSerName val="0"/>
          <c:showPercent val="0"/>
          <c:showBubbleSize val="0"/>
        </c:dLbls>
        <c:gapWidth val="150"/>
        <c:axId val="72914033"/>
        <c:axId val="41865921"/>
      </c:barChart>
      <c:catAx>
        <c:axId val="7291403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1865921"/>
        <c:crosses val="autoZero"/>
        <c:auto val="1"/>
        <c:lblAlgn val="ctr"/>
        <c:lblOffset val="100"/>
        <c:noMultiLvlLbl val="0"/>
      </c:catAx>
      <c:valAx>
        <c:axId val="41865921"/>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91403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31. توزيع الشكاوى والبلاغات الواردة حسب طريقة الاستلام</a:t>
            </a:r>
          </a:p>
        </c:rich>
      </c:tx>
      <c:overlay val="0"/>
      <c:spPr>
        <a:noFill/>
        <a:ln w="0">
          <a:noFill/>
        </a:ln>
      </c:spPr>
    </c:title>
    <c:autoTitleDeleted val="0"/>
    <c:plotArea>
      <c:layout/>
      <c:barChart>
        <c:barDir val="col"/>
        <c:grouping val="clustered"/>
        <c:varyColors val="0"/>
        <c:ser>
          <c:idx val="0"/>
          <c:order val="0"/>
          <c:tx>
            <c:strRef>
              <c:f>'31-طريقة استلام الشكوى'!$A$5</c:f>
              <c:strCache>
                <c:ptCount val="1"/>
                <c:pt idx="0">
                  <c:v>الحضور الشخصي وتسليم باليد</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'31-طريقة استلام الشكوى'!$B$4:$E$4</c:f>
              <c:strCache>
                <c:ptCount val="4"/>
                <c:pt idx="0">
                  <c:v>2022</c:v>
                </c:pt>
                <c:pt idx="1">
                  <c:v>2023</c:v>
                </c:pt>
                <c:pt idx="2">
                  <c:v>2024</c:v>
                </c:pt>
                <c:pt idx="3">
                  <c:v>2025</c:v>
                </c:pt>
              </c:strCache>
            </c:strRef>
          </c:cat>
          <c:val>
            <c:numRef>
              <c:f>'31-طريقة استلام الشكوى'!$B$5:$E$5</c:f>
              <c:numCache>
                <c:formatCode>General</c:formatCode>
                <c:ptCount val="4"/>
                <c:pt idx="0">
                  <c:v>315</c:v>
                </c:pt>
                <c:pt idx="1">
                  <c:v>210</c:v>
                </c:pt>
                <c:pt idx="2">
                  <c:v>293</c:v>
                </c:pt>
                <c:pt idx="3">
                  <c:v>268</c:v>
                </c:pt>
              </c:numCache>
            </c:numRef>
          </c:val>
          <c:extLst>
            <c:ext xmlns:c16="http://schemas.microsoft.com/office/drawing/2014/chart" uri="{C3380CC4-5D6E-409C-BE32-E72D297353CC}">
              <c16:uniqueId val="{00000000-BF75-4D68-A64E-8B58D81E5D6B}"/>
            </c:ext>
          </c:extLst>
        </c:ser>
        <c:ser>
          <c:idx val="1"/>
          <c:order val="1"/>
          <c:tx>
            <c:strRef>
              <c:f>'31-طريقة استلام الشكوى'!$A$6</c:f>
              <c:strCache>
                <c:ptCount val="1"/>
                <c:pt idx="0">
                  <c:v>جهات ومؤسسات رسمية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'31-طريقة استلام الشكوى'!$B$4:$E$4</c:f>
              <c:strCache>
                <c:ptCount val="4"/>
                <c:pt idx="0">
                  <c:v>2022</c:v>
                </c:pt>
                <c:pt idx="1">
                  <c:v>2023</c:v>
                </c:pt>
                <c:pt idx="2">
                  <c:v>2024</c:v>
                </c:pt>
                <c:pt idx="3">
                  <c:v>2025</c:v>
                </c:pt>
              </c:strCache>
            </c:strRef>
          </c:cat>
          <c:val>
            <c:numRef>
              <c:f>'31-طريقة استلام الشكوى'!$B$6:$E$6</c:f>
              <c:numCache>
                <c:formatCode>General</c:formatCode>
                <c:ptCount val="4"/>
                <c:pt idx="0">
                  <c:v>65</c:v>
                </c:pt>
                <c:pt idx="1">
                  <c:v>33</c:v>
                </c:pt>
                <c:pt idx="2">
                  <c:v>53</c:v>
                </c:pt>
                <c:pt idx="3">
                  <c:v>36</c:v>
                </c:pt>
              </c:numCache>
            </c:numRef>
          </c:val>
          <c:extLst>
            <c:ext xmlns:c16="http://schemas.microsoft.com/office/drawing/2014/chart" uri="{C3380CC4-5D6E-409C-BE32-E72D297353CC}">
              <c16:uniqueId val="{00000001-BF75-4D68-A64E-8B58D81E5D6B}"/>
            </c:ext>
          </c:extLst>
        </c:ser>
        <c:ser>
          <c:idx val="2"/>
          <c:order val="2"/>
          <c:tx>
            <c:strRef>
              <c:f>'31-طريقة استلام الشكوى'!$A$7</c:f>
              <c:strCache>
                <c:ptCount val="1"/>
                <c:pt idx="0">
                  <c:v>الرصد</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'31-طريقة استلام الشكوى'!$B$4:$E$4</c:f>
              <c:strCache>
                <c:ptCount val="4"/>
                <c:pt idx="0">
                  <c:v>2022</c:v>
                </c:pt>
                <c:pt idx="1">
                  <c:v>2023</c:v>
                </c:pt>
                <c:pt idx="2">
                  <c:v>2024</c:v>
                </c:pt>
                <c:pt idx="3">
                  <c:v>2025</c:v>
                </c:pt>
              </c:strCache>
            </c:strRef>
          </c:cat>
          <c:val>
            <c:numRef>
              <c:f>'31-طريقة استلام الشكوى'!$B$7:$E$7</c:f>
              <c:numCache>
                <c:formatCode>General</c:formatCode>
                <c:ptCount val="4"/>
                <c:pt idx="0">
                  <c:v>14</c:v>
                </c:pt>
                <c:pt idx="1">
                  <c:v>0</c:v>
                </c:pt>
                <c:pt idx="2">
                  <c:v>0</c:v>
                </c:pt>
                <c:pt idx="3">
                  <c:v>2</c:v>
                </c:pt>
              </c:numCache>
            </c:numRef>
          </c:val>
          <c:extLst>
            <c:ext xmlns:c16="http://schemas.microsoft.com/office/drawing/2014/chart" uri="{C3380CC4-5D6E-409C-BE32-E72D297353CC}">
              <c16:uniqueId val="{00000002-BF75-4D68-A64E-8B58D81E5D6B}"/>
            </c:ext>
          </c:extLst>
        </c:ser>
        <c:ser>
          <c:idx val="3"/>
          <c:order val="3"/>
          <c:tx>
            <c:strRef>
              <c:f>'31-طريقة استلام الشكوى'!$A$8</c:f>
              <c:strCache>
                <c:ptCount val="1"/>
                <c:pt idx="0">
                  <c:v>الوسائل والتطبيقات الإلكترونية</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'31-طريقة استلام الشكوى'!$B$4:$E$4</c:f>
              <c:strCache>
                <c:ptCount val="4"/>
                <c:pt idx="0">
                  <c:v>2022</c:v>
                </c:pt>
                <c:pt idx="1">
                  <c:v>2023</c:v>
                </c:pt>
                <c:pt idx="2">
                  <c:v>2024</c:v>
                </c:pt>
                <c:pt idx="3">
                  <c:v>2025</c:v>
                </c:pt>
              </c:strCache>
            </c:strRef>
          </c:cat>
          <c:val>
            <c:numRef>
              <c:f>'31-طريقة استلام الشكوى'!$B$8:$E$8</c:f>
              <c:numCache>
                <c:formatCode>General</c:formatCode>
                <c:ptCount val="4"/>
                <c:pt idx="0">
                  <c:v>485</c:v>
                </c:pt>
                <c:pt idx="1">
                  <c:v>344</c:v>
                </c:pt>
                <c:pt idx="2">
                  <c:v>324</c:v>
                </c:pt>
                <c:pt idx="3">
                  <c:v>481</c:v>
                </c:pt>
              </c:numCache>
            </c:numRef>
          </c:val>
          <c:extLst>
            <c:ext xmlns:c16="http://schemas.microsoft.com/office/drawing/2014/chart" uri="{C3380CC4-5D6E-409C-BE32-E72D297353CC}">
              <c16:uniqueId val="{00000003-BF75-4D68-A64E-8B58D81E5D6B}"/>
            </c:ext>
          </c:extLst>
        </c:ser>
        <c:dLbls>
          <c:showLegendKey val="0"/>
          <c:showVal val="0"/>
          <c:showCatName val="0"/>
          <c:showSerName val="0"/>
          <c:showPercent val="0"/>
          <c:showBubbleSize val="0"/>
        </c:dLbls>
        <c:gapWidth val="150"/>
        <c:axId val="66823723"/>
        <c:axId val="78807470"/>
      </c:barChart>
      <c:catAx>
        <c:axId val="6682372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807470"/>
        <c:crosses val="autoZero"/>
        <c:auto val="1"/>
        <c:lblAlgn val="ctr"/>
        <c:lblOffset val="100"/>
        <c:noMultiLvlLbl val="0"/>
      </c:catAx>
      <c:valAx>
        <c:axId val="7880747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682372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32. توزيع الشكاوى والبلاغات الواردة حسب جنس المشتكى عليه</a:t>
            </a:r>
          </a:p>
        </c:rich>
      </c:tx>
      <c:overlay val="0"/>
      <c:spPr>
        <a:noFill/>
        <a:ln w="0">
          <a:noFill/>
        </a:ln>
      </c:spPr>
    </c:title>
    <c:autoTitleDeleted val="0"/>
    <c:plotArea>
      <c:layout/>
      <c:barChart>
        <c:barDir val="col"/>
        <c:grouping val="clustered"/>
        <c:varyColors val="0"/>
        <c:ser>
          <c:idx val="0"/>
          <c:order val="0"/>
          <c:tx>
            <c:strRef>
              <c:f>'32-الشكاوى حسب جنس المشتكى عليه'!$B$3</c:f>
              <c:strCache>
                <c:ptCount val="1"/>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'32-الشكاوى حسب جنس المشتكى عليه'!$A$4:$A$7</c:f>
              <c:strCache>
                <c:ptCount val="4"/>
                <c:pt idx="0">
                  <c:v>السنة</c:v>
                </c:pt>
                <c:pt idx="1">
                  <c:v>2022</c:v>
                </c:pt>
                <c:pt idx="2">
                  <c:v>2023</c:v>
                </c:pt>
                <c:pt idx="3">
                  <c:v>2024</c:v>
                </c:pt>
              </c:strCache>
            </c:strRef>
          </c:cat>
          <c:val>
            <c:numRef>
              <c:f>'32-الشكاوى حسب جنس المشتكى عليه'!$B$4:$B$7</c:f>
              <c:numCache>
                <c:formatCode>General</c:formatCode>
                <c:ptCount val="4"/>
                <c:pt idx="0">
                  <c:v>0</c:v>
                </c:pt>
                <c:pt idx="1">
                  <c:v>387</c:v>
                </c:pt>
                <c:pt idx="2">
                  <c:v>260</c:v>
                </c:pt>
                <c:pt idx="3">
                  <c:v>314</c:v>
                </c:pt>
              </c:numCache>
            </c:numRef>
          </c:val>
          <c:extLst>
            <c:ext xmlns:c16="http://schemas.microsoft.com/office/drawing/2014/chart" uri="{C3380CC4-5D6E-409C-BE32-E72D297353CC}">
              <c16:uniqueId val="{00000000-3BCC-43F7-9DAF-6F09DCCB3E64}"/>
            </c:ext>
          </c:extLst>
        </c:ser>
        <c:ser>
          <c:idx val="1"/>
          <c:order val="1"/>
          <c:tx>
            <c:strRef>
              <c:f>'32-الشكاوى حسب جنس المشتكى عليه'!$C$3</c:f>
              <c:strCache>
                <c:ptCount val="1"/>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'32-الشكاوى حسب جنس المشتكى عليه'!$A$4:$A$7</c:f>
              <c:strCache>
                <c:ptCount val="4"/>
                <c:pt idx="0">
                  <c:v>السنة</c:v>
                </c:pt>
                <c:pt idx="1">
                  <c:v>2022</c:v>
                </c:pt>
                <c:pt idx="2">
                  <c:v>2023</c:v>
                </c:pt>
                <c:pt idx="3">
                  <c:v>2024</c:v>
                </c:pt>
              </c:strCache>
            </c:strRef>
          </c:cat>
          <c:val>
            <c:numRef>
              <c:f>'32-الشكاوى حسب جنس المشتكى عليه'!$C$4:$C$7</c:f>
              <c:numCache>
                <c:formatCode>General</c:formatCode>
                <c:ptCount val="4"/>
                <c:pt idx="0">
                  <c:v>0</c:v>
                </c:pt>
                <c:pt idx="1">
                  <c:v>26</c:v>
                </c:pt>
                <c:pt idx="2">
                  <c:v>18</c:v>
                </c:pt>
                <c:pt idx="3">
                  <c:v>20</c:v>
                </c:pt>
              </c:numCache>
            </c:numRef>
          </c:val>
          <c:extLst>
            <c:ext xmlns:c16="http://schemas.microsoft.com/office/drawing/2014/chart" uri="{C3380CC4-5D6E-409C-BE32-E72D297353CC}">
              <c16:uniqueId val="{00000001-3BCC-43F7-9DAF-6F09DCCB3E64}"/>
            </c:ext>
          </c:extLst>
        </c:ser>
        <c:ser>
          <c:idx val="2"/>
          <c:order val="2"/>
          <c:tx>
            <c:strRef>
              <c:f>'32-الشكاوى حسب جنس المشتكى عليه'!$D$3</c:f>
              <c:strCache>
                <c:ptCount val="1"/>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'32-الشكاوى حسب جنس المشتكى عليه'!$A$4:$A$7</c:f>
              <c:strCache>
                <c:ptCount val="4"/>
                <c:pt idx="0">
                  <c:v>السنة</c:v>
                </c:pt>
                <c:pt idx="1">
                  <c:v>2022</c:v>
                </c:pt>
                <c:pt idx="2">
                  <c:v>2023</c:v>
                </c:pt>
                <c:pt idx="3">
                  <c:v>2024</c:v>
                </c:pt>
              </c:strCache>
            </c:strRef>
          </c:cat>
          <c:val>
            <c:numRef>
              <c:f>'32-الشكاوى حسب جنس المشتكى عليه'!$D$4:$D$7</c:f>
              <c:numCache>
                <c:formatCode>General</c:formatCode>
                <c:ptCount val="4"/>
                <c:pt idx="0">
                  <c:v>0</c:v>
                </c:pt>
                <c:pt idx="1">
                  <c:v>20</c:v>
                </c:pt>
                <c:pt idx="2">
                  <c:v>10</c:v>
                </c:pt>
                <c:pt idx="3">
                  <c:v>15</c:v>
                </c:pt>
              </c:numCache>
            </c:numRef>
          </c:val>
          <c:extLst>
            <c:ext xmlns:c16="http://schemas.microsoft.com/office/drawing/2014/chart" uri="{C3380CC4-5D6E-409C-BE32-E72D297353CC}">
              <c16:uniqueId val="{00000002-3BCC-43F7-9DAF-6F09DCCB3E64}"/>
            </c:ext>
          </c:extLst>
        </c:ser>
        <c:dLbls>
          <c:showLegendKey val="0"/>
          <c:showVal val="0"/>
          <c:showCatName val="0"/>
          <c:showSerName val="0"/>
          <c:showPercent val="0"/>
          <c:showBubbleSize val="0"/>
        </c:dLbls>
        <c:gapWidth val="150"/>
        <c:axId val="46658301"/>
        <c:axId val="50074195"/>
      </c:barChart>
      <c:catAx>
        <c:axId val="466583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0074195"/>
        <c:crosses val="autoZero"/>
        <c:auto val="1"/>
        <c:lblAlgn val="ctr"/>
        <c:lblOffset val="100"/>
        <c:noMultiLvlLbl val="0"/>
      </c:catAx>
      <c:valAx>
        <c:axId val="5007419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66583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33. توزيع الشكاوى والبلاغات الواردة حسب الدرجة الوظيفية للمشتكى عليه</a:t>
            </a:r>
          </a:p>
        </c:rich>
      </c:tx>
      <c:overlay val="0"/>
      <c:spPr>
        <a:noFill/>
        <a:ln w="0">
          <a:noFill/>
        </a:ln>
      </c:spPr>
    </c:title>
    <c:autoTitleDeleted val="0"/>
    <c:plotArea>
      <c:layout/>
      <c:barChart>
        <c:barDir val="col"/>
        <c:grouping val="clustered"/>
        <c:varyColors val="0"/>
        <c:ser>
          <c:idx val="0"/>
          <c:order val="0"/>
          <c:tx>
            <c:strRef>
              <c:f>'33-حسب درجة المشتكى عليه'!$A$5</c:f>
              <c:strCache>
                <c:ptCount val="1"/>
                <c:pt idx="0">
                  <c:v>فئة خاصة</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عليه'!$B$5:$E$5</c:f>
              <c:numCache>
                <c:formatCode>General</c:formatCode>
                <c:ptCount val="4"/>
                <c:pt idx="0">
                  <c:v>19</c:v>
                </c:pt>
                <c:pt idx="1">
                  <c:v>21</c:v>
                </c:pt>
                <c:pt idx="2">
                  <c:v>17</c:v>
                </c:pt>
                <c:pt idx="3">
                  <c:v>19</c:v>
                </c:pt>
              </c:numCache>
            </c:numRef>
          </c:val>
          <c:extLst>
            <c:ext xmlns:c16="http://schemas.microsoft.com/office/drawing/2014/chart" uri="{C3380CC4-5D6E-409C-BE32-E72D297353CC}">
              <c16:uniqueId val="{00000000-A324-4D2C-818D-D58611F20D69}"/>
            </c:ext>
          </c:extLst>
        </c:ser>
        <c:ser>
          <c:idx val="1"/>
          <c:order val="1"/>
          <c:tx>
            <c:strRef>
              <c:f>'33-حسب درجة المشتكى عليه'!$A$6</c:f>
              <c:strCache>
                <c:ptCount val="1"/>
                <c:pt idx="0">
                  <c:v>فئة عليا</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عليه'!$B$6:$E$6</c:f>
              <c:numCache>
                <c:formatCode>General</c:formatCode>
                <c:ptCount val="4"/>
                <c:pt idx="0">
                  <c:v>32</c:v>
                </c:pt>
                <c:pt idx="1">
                  <c:v>15</c:v>
                </c:pt>
                <c:pt idx="2">
                  <c:v>52</c:v>
                </c:pt>
                <c:pt idx="3">
                  <c:v>61</c:v>
                </c:pt>
              </c:numCache>
            </c:numRef>
          </c:val>
          <c:extLst>
            <c:ext xmlns:c16="http://schemas.microsoft.com/office/drawing/2014/chart" uri="{C3380CC4-5D6E-409C-BE32-E72D297353CC}">
              <c16:uniqueId val="{00000001-A324-4D2C-818D-D58611F20D69}"/>
            </c:ext>
          </c:extLst>
        </c:ser>
        <c:ser>
          <c:idx val="2"/>
          <c:order val="2"/>
          <c:tx>
            <c:strRef>
              <c:f>'33-حسب درجة المشتكى عليه'!$A$7</c:f>
              <c:strCache>
                <c:ptCount val="1"/>
                <c:pt idx="0">
                  <c:v>فئة أولى</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عليه'!$B$7:$E$7</c:f>
              <c:numCache>
                <c:formatCode>General</c:formatCode>
                <c:ptCount val="4"/>
                <c:pt idx="0">
                  <c:v>46</c:v>
                </c:pt>
                <c:pt idx="1">
                  <c:v>34</c:v>
                </c:pt>
                <c:pt idx="2">
                  <c:v>40</c:v>
                </c:pt>
                <c:pt idx="3">
                  <c:v>50</c:v>
                </c:pt>
              </c:numCache>
            </c:numRef>
          </c:val>
          <c:extLst>
            <c:ext xmlns:c16="http://schemas.microsoft.com/office/drawing/2014/chart" uri="{C3380CC4-5D6E-409C-BE32-E72D297353CC}">
              <c16:uniqueId val="{00000002-A324-4D2C-818D-D58611F20D69}"/>
            </c:ext>
          </c:extLst>
        </c:ser>
        <c:ser>
          <c:idx val="3"/>
          <c:order val="3"/>
          <c:tx>
            <c:strRef>
              <c:f>'33-حسب درجة المشتكى عليه'!$A$8</c:f>
              <c:strCache>
                <c:ptCount val="1"/>
                <c:pt idx="0">
                  <c:v>أعضاء السلطة القضائية والنيابة العامة</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عليه'!$B$8:$E$8</c:f>
              <c:numCache>
                <c:formatCode>General</c:formatCode>
                <c:ptCount val="4"/>
                <c:pt idx="0">
                  <c:v>18</c:v>
                </c:pt>
                <c:pt idx="1">
                  <c:v>9</c:v>
                </c:pt>
                <c:pt idx="2">
                  <c:v>12</c:v>
                </c:pt>
                <c:pt idx="3">
                  <c:v>16</c:v>
                </c:pt>
              </c:numCache>
            </c:numRef>
          </c:val>
          <c:extLst>
            <c:ext xmlns:c16="http://schemas.microsoft.com/office/drawing/2014/chart" uri="{C3380CC4-5D6E-409C-BE32-E72D297353CC}">
              <c16:uniqueId val="{00000003-A324-4D2C-818D-D58611F20D69}"/>
            </c:ext>
          </c:extLst>
        </c:ser>
        <c:ser>
          <c:idx val="4"/>
          <c:order val="4"/>
          <c:tx>
            <c:strRef>
              <c:f>'33-حسب درجة المشتكى عليه'!$A$9</c:f>
              <c:strCache>
                <c:ptCount val="1"/>
                <c:pt idx="0">
                  <c:v>رؤساء وأعضاء الهيئات المحلية والجمعيات والنقابات</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عليه'!$B$9:$E$9</c:f>
              <c:numCache>
                <c:formatCode>General</c:formatCode>
                <c:ptCount val="4"/>
                <c:pt idx="0">
                  <c:v>102</c:v>
                </c:pt>
                <c:pt idx="1">
                  <c:v>89</c:v>
                </c:pt>
                <c:pt idx="2">
                  <c:v>93</c:v>
                </c:pt>
                <c:pt idx="3">
                  <c:v>146</c:v>
                </c:pt>
              </c:numCache>
            </c:numRef>
          </c:val>
          <c:extLst>
            <c:ext xmlns:c16="http://schemas.microsoft.com/office/drawing/2014/chart" uri="{C3380CC4-5D6E-409C-BE32-E72D297353CC}">
              <c16:uniqueId val="{00000004-A324-4D2C-818D-D58611F20D69}"/>
            </c:ext>
          </c:extLst>
        </c:ser>
        <c:ser>
          <c:idx val="5"/>
          <c:order val="5"/>
          <c:tx>
            <c:strRef>
              <c:f>'33-حسب درجة المشتكى عليه'!$A$10</c:f>
              <c:strCache>
                <c:ptCount val="1"/>
                <c:pt idx="0">
                  <c:v>السلك الدبلوماسي والسفارات</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عليه'!$B$10:$E$10</c:f>
              <c:numCache>
                <c:formatCode>General</c:formatCode>
                <c:ptCount val="4"/>
                <c:pt idx="0">
                  <c:v>2</c:v>
                </c:pt>
                <c:pt idx="1">
                  <c:v>1</c:v>
                </c:pt>
                <c:pt idx="2">
                  <c:v>2</c:v>
                </c:pt>
                <c:pt idx="3">
                  <c:v>1</c:v>
                </c:pt>
              </c:numCache>
            </c:numRef>
          </c:val>
          <c:extLst>
            <c:ext xmlns:c16="http://schemas.microsoft.com/office/drawing/2014/chart" uri="{C3380CC4-5D6E-409C-BE32-E72D297353CC}">
              <c16:uniqueId val="{00000005-A324-4D2C-818D-D58611F20D69}"/>
            </c:ext>
          </c:extLst>
        </c:ser>
        <c:ser>
          <c:idx val="6"/>
          <c:order val="6"/>
          <c:tx>
            <c:strRef>
              <c:f>'33-حسب درجة المشتكى عليه'!$A$11</c:f>
              <c:strCache>
                <c:ptCount val="1"/>
                <c:pt idx="0">
                  <c:v>منتسبو الأجهزة الأمنية</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عليه'!$B$11:$E$11</c:f>
              <c:numCache>
                <c:formatCode>General</c:formatCode>
                <c:ptCount val="4"/>
                <c:pt idx="0">
                  <c:v>0</c:v>
                </c:pt>
                <c:pt idx="1">
                  <c:v>0</c:v>
                </c:pt>
                <c:pt idx="2">
                  <c:v>11</c:v>
                </c:pt>
                <c:pt idx="3">
                  <c:v>18</c:v>
                </c:pt>
              </c:numCache>
            </c:numRef>
          </c:val>
          <c:extLst>
            <c:ext xmlns:c16="http://schemas.microsoft.com/office/drawing/2014/chart" uri="{C3380CC4-5D6E-409C-BE32-E72D297353CC}">
              <c16:uniqueId val="{00000006-A324-4D2C-818D-D58611F20D69}"/>
            </c:ext>
          </c:extLst>
        </c:ser>
        <c:ser>
          <c:idx val="7"/>
          <c:order val="7"/>
          <c:tx>
            <c:strRef>
              <c:f>'33-حسب درجة المشتكى عليه'!$A$12</c:f>
              <c:strCache>
                <c:ptCount val="1"/>
                <c:pt idx="0">
                  <c:v>غير محدد</c:v>
                </c:pt>
              </c:strCache>
            </c:strRef>
          </c:tx>
          <c:spPr>
            <a:solidFill>
              <a:srgbClr val="D0949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عليه'!$B$12:$E$12</c:f>
              <c:numCache>
                <c:formatCode>General</c:formatCode>
                <c:ptCount val="4"/>
                <c:pt idx="0">
                  <c:v>0</c:v>
                </c:pt>
                <c:pt idx="1">
                  <c:v>0</c:v>
                </c:pt>
                <c:pt idx="2">
                  <c:v>393</c:v>
                </c:pt>
                <c:pt idx="3">
                  <c:v>476</c:v>
                </c:pt>
              </c:numCache>
            </c:numRef>
          </c:val>
          <c:extLst>
            <c:ext xmlns:c16="http://schemas.microsoft.com/office/drawing/2014/chart" uri="{C3380CC4-5D6E-409C-BE32-E72D297353CC}">
              <c16:uniqueId val="{00000007-A324-4D2C-818D-D58611F20D69}"/>
            </c:ext>
          </c:extLst>
        </c:ser>
        <c:ser>
          <c:idx val="8"/>
          <c:order val="8"/>
          <c:tx>
            <c:strRef>
              <c:f>'33-حسب درجة المشتكى عليه'!$A$13</c:f>
              <c:strCache>
                <c:ptCount val="1"/>
                <c:pt idx="0">
                  <c:v>فئات أخرى</c:v>
                </c:pt>
              </c:strCache>
            </c:strRef>
          </c:tx>
          <c:spPr>
            <a:solidFill>
              <a:srgbClr val="B8CD9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'33-حسب درجة المشتكى عليه'!$B$4:$E$4</c:f>
              <c:strCache>
                <c:ptCount val="4"/>
                <c:pt idx="0">
                  <c:v>2022</c:v>
                </c:pt>
                <c:pt idx="1">
                  <c:v>2023</c:v>
                </c:pt>
                <c:pt idx="2">
                  <c:v>2024</c:v>
                </c:pt>
                <c:pt idx="3">
                  <c:v>2025</c:v>
                </c:pt>
              </c:strCache>
            </c:strRef>
          </c:cat>
          <c:val>
            <c:numRef>
              <c:f>'33-حسب درجة المشتكى عليه'!$B$13:$E$13</c:f>
              <c:numCache>
                <c:formatCode>General</c:formatCode>
                <c:ptCount val="4"/>
                <c:pt idx="0">
                  <c:v>660</c:v>
                </c:pt>
                <c:pt idx="1">
                  <c:v>418</c:v>
                </c:pt>
                <c:pt idx="2">
                  <c:v>50</c:v>
                </c:pt>
                <c:pt idx="3">
                  <c:v>0</c:v>
                </c:pt>
              </c:numCache>
            </c:numRef>
          </c:val>
          <c:extLst>
            <c:ext xmlns:c16="http://schemas.microsoft.com/office/drawing/2014/chart" uri="{C3380CC4-5D6E-409C-BE32-E72D297353CC}">
              <c16:uniqueId val="{00000008-A324-4D2C-818D-D58611F20D69}"/>
            </c:ext>
          </c:extLst>
        </c:ser>
        <c:dLbls>
          <c:showLegendKey val="0"/>
          <c:showVal val="0"/>
          <c:showCatName val="0"/>
          <c:showSerName val="0"/>
          <c:showPercent val="0"/>
          <c:showBubbleSize val="0"/>
        </c:dLbls>
        <c:gapWidth val="150"/>
        <c:axId val="86552620"/>
        <c:axId val="9626355"/>
      </c:barChart>
      <c:catAx>
        <c:axId val="8655262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26355"/>
        <c:crosses val="autoZero"/>
        <c:auto val="1"/>
        <c:lblAlgn val="ctr"/>
        <c:lblOffset val="100"/>
        <c:noMultiLvlLbl val="0"/>
      </c:catAx>
      <c:valAx>
        <c:axId val="962635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655262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34. ملخص القضايا والمشتبه بهم لدى نيابة جرائم الفساد (نموذج رقم 1)</a:t>
            </a:r>
          </a:p>
        </c:rich>
      </c:tx>
      <c:overlay val="0"/>
      <c:spPr>
        <a:noFill/>
        <a:ln w="0">
          <a:noFill/>
        </a:ln>
      </c:spPr>
    </c:title>
    <c:autoTitleDeleted val="0"/>
    <c:plotArea>
      <c:layout/>
      <c:barChart>
        <c:barDir val="col"/>
        <c:grouping val="clustered"/>
        <c:varyColors val="0"/>
        <c:ser>
          <c:idx val="0"/>
          <c:order val="0"/>
          <c:tx>
            <c:strRef>
              <c:f>'34-نموذج1 قضايا ومشتبهين'!$A$5</c:f>
              <c:strCache>
                <c:ptCount val="1"/>
                <c:pt idx="0">
                  <c:v>القضايا الواردة - من هيئة مكافحة الفساد</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ومشتبهين'!$B$5:$E$5</c:f>
              <c:numCache>
                <c:formatCode>General</c:formatCode>
                <c:ptCount val="4"/>
                <c:pt idx="0">
                  <c:v>58</c:v>
                </c:pt>
                <c:pt idx="1">
                  <c:v>35</c:v>
                </c:pt>
                <c:pt idx="2">
                  <c:v>31</c:v>
                </c:pt>
                <c:pt idx="3">
                  <c:v>28</c:v>
                </c:pt>
              </c:numCache>
            </c:numRef>
          </c:val>
          <c:extLst>
            <c:ext xmlns:c16="http://schemas.microsoft.com/office/drawing/2014/chart" uri="{C3380CC4-5D6E-409C-BE32-E72D297353CC}">
              <c16:uniqueId val="{00000000-E0CE-48FE-9156-084936F2D7BF}"/>
            </c:ext>
          </c:extLst>
        </c:ser>
        <c:ser>
          <c:idx val="1"/>
          <c:order val="1"/>
          <c:tx>
            <c:strRef>
              <c:f>'34-نموذج1 قضايا ومشتبهين'!$A$6</c:f>
              <c:strCache>
                <c:ptCount val="1"/>
                <c:pt idx="0">
                  <c:v>القضايا الواردة - من النائب العام</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ومشتبهين'!$B$6:$E$6</c:f>
              <c:numCache>
                <c:formatCode>General</c:formatCode>
                <c:ptCount val="4"/>
                <c:pt idx="0">
                  <c:v>29</c:v>
                </c:pt>
                <c:pt idx="1">
                  <c:v>17</c:v>
                </c:pt>
                <c:pt idx="2">
                  <c:v>12</c:v>
                </c:pt>
                <c:pt idx="3">
                  <c:v>13</c:v>
                </c:pt>
              </c:numCache>
            </c:numRef>
          </c:val>
          <c:extLst>
            <c:ext xmlns:c16="http://schemas.microsoft.com/office/drawing/2014/chart" uri="{C3380CC4-5D6E-409C-BE32-E72D297353CC}">
              <c16:uniqueId val="{00000001-E0CE-48FE-9156-084936F2D7BF}"/>
            </c:ext>
          </c:extLst>
        </c:ser>
        <c:ser>
          <c:idx val="2"/>
          <c:order val="2"/>
          <c:tx>
            <c:strRef>
              <c:f>'34-نموذج1 قضايا ومشتبهين'!$A$7</c:f>
              <c:strCache>
                <c:ptCount val="1"/>
                <c:pt idx="0">
                  <c:v>القضايا الواردة - المجموع</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ومشتبهين'!$B$7:$E$7</c:f>
              <c:numCache>
                <c:formatCode>General</c:formatCode>
                <c:ptCount val="4"/>
                <c:pt idx="0">
                  <c:v>87</c:v>
                </c:pt>
                <c:pt idx="1">
                  <c:v>52</c:v>
                </c:pt>
                <c:pt idx="2">
                  <c:v>43</c:v>
                </c:pt>
                <c:pt idx="3">
                  <c:v>41</c:v>
                </c:pt>
              </c:numCache>
            </c:numRef>
          </c:val>
          <c:extLst>
            <c:ext xmlns:c16="http://schemas.microsoft.com/office/drawing/2014/chart" uri="{C3380CC4-5D6E-409C-BE32-E72D297353CC}">
              <c16:uniqueId val="{00000002-E0CE-48FE-9156-084936F2D7BF}"/>
            </c:ext>
          </c:extLst>
        </c:ser>
        <c:ser>
          <c:idx val="3"/>
          <c:order val="3"/>
          <c:tx>
            <c:strRef>
              <c:f>'34-نموذج1 قضايا ومشتبهين'!$A$8</c:f>
              <c:strCache>
                <c:ptCount val="1"/>
                <c:pt idx="0">
                  <c:v>المشتبه بهم المحالون للنيابة - ذكور</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ومشتبهين'!$B$8:$E$8</c:f>
              <c:numCache>
                <c:formatCode>General</c:formatCode>
                <c:ptCount val="4"/>
                <c:pt idx="0">
                  <c:v>132</c:v>
                </c:pt>
                <c:pt idx="1">
                  <c:v>88</c:v>
                </c:pt>
                <c:pt idx="2">
                  <c:v>80</c:v>
                </c:pt>
                <c:pt idx="3">
                  <c:v>79</c:v>
                </c:pt>
              </c:numCache>
            </c:numRef>
          </c:val>
          <c:extLst>
            <c:ext xmlns:c16="http://schemas.microsoft.com/office/drawing/2014/chart" uri="{C3380CC4-5D6E-409C-BE32-E72D297353CC}">
              <c16:uniqueId val="{00000003-E0CE-48FE-9156-084936F2D7BF}"/>
            </c:ext>
          </c:extLst>
        </c:ser>
        <c:ser>
          <c:idx val="4"/>
          <c:order val="4"/>
          <c:tx>
            <c:strRef>
              <c:f>'34-نموذج1 قضايا ومشتبهين'!$A$9</c:f>
              <c:strCache>
                <c:ptCount val="1"/>
                <c:pt idx="0">
                  <c:v>المشتبه بهم المحالون للنيابة - إناث</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ومشتبهين'!$B$9:$E$9</c:f>
              <c:numCache>
                <c:formatCode>General</c:formatCode>
                <c:ptCount val="4"/>
                <c:pt idx="0">
                  <c:v>17</c:v>
                </c:pt>
                <c:pt idx="1">
                  <c:v>9</c:v>
                </c:pt>
                <c:pt idx="2">
                  <c:v>5</c:v>
                </c:pt>
                <c:pt idx="3">
                  <c:v>1</c:v>
                </c:pt>
              </c:numCache>
            </c:numRef>
          </c:val>
          <c:extLst>
            <c:ext xmlns:c16="http://schemas.microsoft.com/office/drawing/2014/chart" uri="{C3380CC4-5D6E-409C-BE32-E72D297353CC}">
              <c16:uniqueId val="{00000004-E0CE-48FE-9156-084936F2D7BF}"/>
            </c:ext>
          </c:extLst>
        </c:ser>
        <c:ser>
          <c:idx val="5"/>
          <c:order val="5"/>
          <c:tx>
            <c:strRef>
              <c:f>'34-نموذج1 قضايا ومشتبهين'!$A$10</c:f>
              <c:strCache>
                <c:ptCount val="1"/>
                <c:pt idx="0">
                  <c:v>القضايا المنجزة - إحالة لمحكمة جرائم الفساد</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ومشتبهين'!$B$10:$E$10</c:f>
              <c:numCache>
                <c:formatCode>General</c:formatCode>
                <c:ptCount val="4"/>
                <c:pt idx="0">
                  <c:v>31</c:v>
                </c:pt>
                <c:pt idx="1">
                  <c:v>39</c:v>
                </c:pt>
                <c:pt idx="2">
                  <c:v>35</c:v>
                </c:pt>
                <c:pt idx="3">
                  <c:v>34</c:v>
                </c:pt>
              </c:numCache>
            </c:numRef>
          </c:val>
          <c:extLst>
            <c:ext xmlns:c16="http://schemas.microsoft.com/office/drawing/2014/chart" uri="{C3380CC4-5D6E-409C-BE32-E72D297353CC}">
              <c16:uniqueId val="{00000005-E0CE-48FE-9156-084936F2D7BF}"/>
            </c:ext>
          </c:extLst>
        </c:ser>
        <c:ser>
          <c:idx val="6"/>
          <c:order val="6"/>
          <c:tx>
            <c:strRef>
              <c:f>'34-نموذج1 قضايا ومشتبهين'!$A$11</c:f>
              <c:strCache>
                <c:ptCount val="1"/>
                <c:pt idx="0">
                  <c:v>القضايا المنجزة - حفظ</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ومشتبهين'!$B$11:$E$11</c:f>
              <c:numCache>
                <c:formatCode>General</c:formatCode>
                <c:ptCount val="4"/>
                <c:pt idx="0">
                  <c:v>11</c:v>
                </c:pt>
                <c:pt idx="1">
                  <c:v>20</c:v>
                </c:pt>
                <c:pt idx="2">
                  <c:v>18</c:v>
                </c:pt>
                <c:pt idx="3">
                  <c:v>11</c:v>
                </c:pt>
              </c:numCache>
            </c:numRef>
          </c:val>
          <c:extLst>
            <c:ext xmlns:c16="http://schemas.microsoft.com/office/drawing/2014/chart" uri="{C3380CC4-5D6E-409C-BE32-E72D297353CC}">
              <c16:uniqueId val="{00000006-E0CE-48FE-9156-084936F2D7BF}"/>
            </c:ext>
          </c:extLst>
        </c:ser>
        <c:ser>
          <c:idx val="7"/>
          <c:order val="7"/>
          <c:tx>
            <c:strRef>
              <c:f>'34-نموذج1 قضايا ومشتبهين'!$A$12</c:f>
              <c:strCache>
                <c:ptCount val="1"/>
                <c:pt idx="0">
                  <c:v>القضايا المنجزة - إحالة لجهات أخرى (عدم اختصاص)</c:v>
                </c:pt>
              </c:strCache>
            </c:strRef>
          </c:tx>
          <c:spPr>
            <a:solidFill>
              <a:srgbClr val="D0949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'34-نموذج1 قضايا ومشتبهين'!$B$4:$E$4</c:f>
              <c:strCache>
                <c:ptCount val="4"/>
                <c:pt idx="0">
                  <c:v>2022</c:v>
                </c:pt>
                <c:pt idx="1">
                  <c:v>2023</c:v>
                </c:pt>
                <c:pt idx="2">
                  <c:v>2024</c:v>
                </c:pt>
                <c:pt idx="3">
                  <c:v>2025</c:v>
                </c:pt>
              </c:strCache>
            </c:strRef>
          </c:cat>
          <c:val>
            <c:numRef>
              <c:f>'34-نموذج1 قضايا ومشتبهين'!$B$12:$E$12</c:f>
              <c:numCache>
                <c:formatCode>General</c:formatCode>
                <c:ptCount val="4"/>
                <c:pt idx="0">
                  <c:v>2</c:v>
                </c:pt>
                <c:pt idx="1">
                  <c:v>5</c:v>
                </c:pt>
                <c:pt idx="2">
                  <c:v>3</c:v>
                </c:pt>
                <c:pt idx="3">
                  <c:v>5</c:v>
                </c:pt>
              </c:numCache>
            </c:numRef>
          </c:val>
          <c:extLst>
            <c:ext xmlns:c16="http://schemas.microsoft.com/office/drawing/2014/chart" uri="{C3380CC4-5D6E-409C-BE32-E72D297353CC}">
              <c16:uniqueId val="{00000007-E0CE-48FE-9156-084936F2D7BF}"/>
            </c:ext>
          </c:extLst>
        </c:ser>
        <c:dLbls>
          <c:showLegendKey val="0"/>
          <c:showVal val="0"/>
          <c:showCatName val="0"/>
          <c:showSerName val="0"/>
          <c:showPercent val="0"/>
          <c:showBubbleSize val="0"/>
        </c:dLbls>
        <c:gapWidth val="150"/>
        <c:axId val="84825137"/>
        <c:axId val="78276195"/>
      </c:barChart>
      <c:catAx>
        <c:axId val="8482513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276195"/>
        <c:crosses val="autoZero"/>
        <c:auto val="1"/>
        <c:lblAlgn val="ctr"/>
        <c:lblOffset val="100"/>
        <c:noMultiLvlLbl val="0"/>
      </c:catAx>
      <c:valAx>
        <c:axId val="7827619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82513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35. القضايا المحالة إلى محكمة جرائم الفساد حسب نوع الجرم (نموذج رقم 4)</a:t>
            </a:r>
          </a:p>
        </c:rich>
      </c:tx>
      <c:overlay val="0"/>
      <c:spPr>
        <a:noFill/>
        <a:ln w="0">
          <a:noFill/>
        </a:ln>
      </c:spPr>
    </c:title>
    <c:autoTitleDeleted val="0"/>
    <c:plotArea>
      <c:layout/>
      <c:barChart>
        <c:barDir val="col"/>
        <c:grouping val="clustered"/>
        <c:varyColors val="0"/>
        <c:ser>
          <c:idx val="0"/>
          <c:order val="0"/>
          <c:tx>
            <c:strRef>
              <c:f>'35-نموذج4 حسب نوع الجرم (محكمة)'!$A$5</c:f>
              <c:strCache>
                <c:ptCount val="1"/>
                <c:pt idx="0">
                  <c:v>التهاون في القيام بالواجبات الوظيفية</c:v>
                </c:pt>
              </c:strCache>
            </c:strRef>
          </c:tx>
          <c:spPr>
            <a:solidFill>
              <a:srgbClr val="416A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(محكمة)'!$B$5:$E$5</c:f>
              <c:numCache>
                <c:formatCode>General</c:formatCode>
                <c:ptCount val="4"/>
                <c:pt idx="0">
                  <c:v>1</c:v>
                </c:pt>
                <c:pt idx="1">
                  <c:v>3</c:v>
                </c:pt>
                <c:pt idx="2">
                  <c:v>5</c:v>
                </c:pt>
                <c:pt idx="3">
                  <c:v>5</c:v>
                </c:pt>
              </c:numCache>
            </c:numRef>
          </c:val>
          <c:extLst>
            <c:ext xmlns:c16="http://schemas.microsoft.com/office/drawing/2014/chart" uri="{C3380CC4-5D6E-409C-BE32-E72D297353CC}">
              <c16:uniqueId val="{00000000-FACF-4D33-91C5-6253A53C3237}"/>
            </c:ext>
          </c:extLst>
        </c:ser>
        <c:ser>
          <c:idx val="1"/>
          <c:order val="1"/>
          <c:tx>
            <c:strRef>
              <c:f>'35-نموذج4 حسب نوع الجرم (محكمة)'!$A$6</c:f>
              <c:strCache>
                <c:ptCount val="1"/>
                <c:pt idx="0">
                  <c:v>الرشوة</c:v>
                </c:pt>
              </c:strCache>
            </c:strRef>
          </c:tx>
          <c:spPr>
            <a:solidFill>
              <a:srgbClr val="9F423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(محكمة)'!$B$6:$E$6</c:f>
              <c:numCache>
                <c:formatCode>General</c:formatCode>
                <c:ptCount val="4"/>
                <c:pt idx="0">
                  <c:v>12</c:v>
                </c:pt>
                <c:pt idx="1">
                  <c:v>0</c:v>
                </c:pt>
                <c:pt idx="2">
                  <c:v>0</c:v>
                </c:pt>
                <c:pt idx="3">
                  <c:v>9</c:v>
                </c:pt>
              </c:numCache>
            </c:numRef>
          </c:val>
          <c:extLst>
            <c:ext xmlns:c16="http://schemas.microsoft.com/office/drawing/2014/chart" uri="{C3380CC4-5D6E-409C-BE32-E72D297353CC}">
              <c16:uniqueId val="{00000001-FACF-4D33-91C5-6253A53C3237}"/>
            </c:ext>
          </c:extLst>
        </c:ser>
        <c:ser>
          <c:idx val="2"/>
          <c:order val="2"/>
          <c:tx>
            <c:strRef>
              <c:f>'35-نموذج4 حسب نوع الجرم (محكمة)'!$A$7</c:f>
              <c:strCache>
                <c:ptCount val="1"/>
                <c:pt idx="0">
                  <c:v>الاختلاس</c:v>
                </c:pt>
              </c:strCache>
            </c:strRef>
          </c:tx>
          <c:spPr>
            <a:solidFill>
              <a:srgbClr val="809B4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(محكمة)'!$B$7:$E$7</c:f>
              <c:numCache>
                <c:formatCode>General</c:formatCode>
                <c:ptCount val="4"/>
                <c:pt idx="0">
                  <c:v>5</c:v>
                </c:pt>
                <c:pt idx="1">
                  <c:v>4</c:v>
                </c:pt>
                <c:pt idx="2">
                  <c:v>4</c:v>
                </c:pt>
                <c:pt idx="3">
                  <c:v>4</c:v>
                </c:pt>
              </c:numCache>
            </c:numRef>
          </c:val>
          <c:extLst>
            <c:ext xmlns:c16="http://schemas.microsoft.com/office/drawing/2014/chart" uri="{C3380CC4-5D6E-409C-BE32-E72D297353CC}">
              <c16:uniqueId val="{00000002-FACF-4D33-91C5-6253A53C3237}"/>
            </c:ext>
          </c:extLst>
        </c:ser>
        <c:ser>
          <c:idx val="3"/>
          <c:order val="3"/>
          <c:tx>
            <c:strRef>
              <c:f>'35-نموذج4 حسب نوع الجرم (محكمة)'!$A$8</c:f>
              <c:strCache>
                <c:ptCount val="1"/>
                <c:pt idx="0">
                  <c:v>إساءة استعمال السلطة</c:v>
                </c:pt>
              </c:strCache>
            </c:strRef>
          </c:tx>
          <c:spPr>
            <a:solidFill>
              <a:srgbClr val="6A528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(محكمة)'!$B$8:$E$8</c:f>
              <c:numCache>
                <c:formatCode>General</c:formatCode>
                <c:ptCount val="4"/>
                <c:pt idx="0">
                  <c:v>10</c:v>
                </c:pt>
                <c:pt idx="1">
                  <c:v>1</c:v>
                </c:pt>
                <c:pt idx="2">
                  <c:v>1</c:v>
                </c:pt>
                <c:pt idx="3">
                  <c:v>33</c:v>
                </c:pt>
              </c:numCache>
            </c:numRef>
          </c:val>
          <c:extLst>
            <c:ext xmlns:c16="http://schemas.microsoft.com/office/drawing/2014/chart" uri="{C3380CC4-5D6E-409C-BE32-E72D297353CC}">
              <c16:uniqueId val="{00000003-FACF-4D33-91C5-6253A53C3237}"/>
            </c:ext>
          </c:extLst>
        </c:ser>
        <c:ser>
          <c:idx val="4"/>
          <c:order val="4"/>
          <c:tx>
            <c:strRef>
              <c:f>'35-نموذج4 حسب نوع الجرم (محكمة)'!$A$9</c:f>
              <c:strCache>
                <c:ptCount val="1"/>
                <c:pt idx="0">
                  <c:v>التزوير والتزييف</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(محكمة)'!$B$9:$E$9</c:f>
              <c:numCache>
                <c:formatCode>General</c:formatCode>
                <c:ptCount val="4"/>
                <c:pt idx="0">
                  <c:v>74</c:v>
                </c:pt>
                <c:pt idx="1">
                  <c:v>35</c:v>
                </c:pt>
                <c:pt idx="2">
                  <c:v>12</c:v>
                </c:pt>
                <c:pt idx="3">
                  <c:v>33</c:v>
                </c:pt>
              </c:numCache>
            </c:numRef>
          </c:val>
          <c:extLst>
            <c:ext xmlns:c16="http://schemas.microsoft.com/office/drawing/2014/chart" uri="{C3380CC4-5D6E-409C-BE32-E72D297353CC}">
              <c16:uniqueId val="{00000004-FACF-4D33-91C5-6253A53C3237}"/>
            </c:ext>
          </c:extLst>
        </c:ser>
        <c:ser>
          <c:idx val="5"/>
          <c:order val="5"/>
          <c:tx>
            <c:strRef>
              <c:f>'35-نموذج4 حسب نوع الجرم (محكمة)'!$A$10</c:f>
              <c:strCache>
                <c:ptCount val="1"/>
                <c:pt idx="0">
                  <c:v>قبول الواسطة والمحسوبية والمحاباة</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(محكمة)'!$B$10:$E$10</c:f>
              <c:numCache>
                <c:formatCode>General</c:formatCode>
                <c:ptCount val="4"/>
                <c:pt idx="0">
                  <c:v>29</c:v>
                </c:pt>
                <c:pt idx="1">
                  <c:v>1</c:v>
                </c:pt>
                <c:pt idx="2">
                  <c:v>13</c:v>
                </c:pt>
                <c:pt idx="3">
                  <c:v>2</c:v>
                </c:pt>
              </c:numCache>
            </c:numRef>
          </c:val>
          <c:extLst>
            <c:ext xmlns:c16="http://schemas.microsoft.com/office/drawing/2014/chart" uri="{C3380CC4-5D6E-409C-BE32-E72D297353CC}">
              <c16:uniqueId val="{00000005-FACF-4D33-91C5-6253A53C3237}"/>
            </c:ext>
          </c:extLst>
        </c:ser>
        <c:ser>
          <c:idx val="6"/>
          <c:order val="6"/>
          <c:tx>
            <c:strRef>
              <c:f>'35-نموذج4 حسب نوع الجرم (محكمة)'!$A$11</c:f>
              <c:strCache>
                <c:ptCount val="1"/>
                <c:pt idx="0">
                  <c:v>استثمار الوظيفة</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(محكمة)'!$B$11:$E$11</c:f>
              <c:numCache>
                <c:formatCode>General</c:formatCode>
                <c:ptCount val="4"/>
                <c:pt idx="0">
                  <c:v>14</c:v>
                </c:pt>
                <c:pt idx="1">
                  <c:v>13</c:v>
                </c:pt>
                <c:pt idx="2">
                  <c:v>10</c:v>
                </c:pt>
                <c:pt idx="3">
                  <c:v>1</c:v>
                </c:pt>
              </c:numCache>
            </c:numRef>
          </c:val>
          <c:extLst>
            <c:ext xmlns:c16="http://schemas.microsoft.com/office/drawing/2014/chart" uri="{C3380CC4-5D6E-409C-BE32-E72D297353CC}">
              <c16:uniqueId val="{00000006-FACF-4D33-91C5-6253A53C3237}"/>
            </c:ext>
          </c:extLst>
        </c:ser>
        <c:ser>
          <c:idx val="7"/>
          <c:order val="7"/>
          <c:tx>
            <c:strRef>
              <c:f>'35-نموذج4 حسب نوع الجرم (محكمة)'!$A$12</c:f>
              <c:strCache>
                <c:ptCount val="1"/>
                <c:pt idx="0">
                  <c:v>إساءة الائتمان</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(محكمة)'!$B$12:$E$12</c:f>
              <c:numCache>
                <c:formatCode>General</c:formatCode>
                <c:ptCount val="4"/>
                <c:pt idx="0">
                  <c:v>5</c:v>
                </c:pt>
                <c:pt idx="1">
                  <c:v>16</c:v>
                </c:pt>
                <c:pt idx="2">
                  <c:v>14</c:v>
                </c:pt>
                <c:pt idx="3">
                  <c:v>18</c:v>
                </c:pt>
              </c:numCache>
            </c:numRef>
          </c:val>
          <c:extLst>
            <c:ext xmlns:c16="http://schemas.microsoft.com/office/drawing/2014/chart" uri="{C3380CC4-5D6E-409C-BE32-E72D297353CC}">
              <c16:uniqueId val="{00000007-FACF-4D33-91C5-6253A53C3237}"/>
            </c:ext>
          </c:extLst>
        </c:ser>
        <c:ser>
          <c:idx val="8"/>
          <c:order val="8"/>
          <c:tx>
            <c:strRef>
              <c:f>'35-نموذج4 حسب نوع الجرم (محكمة)'!$A$13</c:f>
              <c:strCache>
                <c:ptCount val="1"/>
                <c:pt idx="0">
                  <c:v>الكسب غير المشروع</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(محكمة)'!$B$13:$E$13</c:f>
              <c:numCache>
                <c:formatCode>General</c:formatCode>
                <c:ptCount val="4"/>
                <c:pt idx="0">
                  <c:v>0</c:v>
                </c:pt>
                <c:pt idx="1">
                  <c:v>7</c:v>
                </c:pt>
                <c:pt idx="2">
                  <c:v>0</c:v>
                </c:pt>
                <c:pt idx="3">
                  <c:v>6</c:v>
                </c:pt>
              </c:numCache>
            </c:numRef>
          </c:val>
          <c:extLst>
            <c:ext xmlns:c16="http://schemas.microsoft.com/office/drawing/2014/chart" uri="{C3380CC4-5D6E-409C-BE32-E72D297353CC}">
              <c16:uniqueId val="{00000008-FACF-4D33-91C5-6253A53C3237}"/>
            </c:ext>
          </c:extLst>
        </c:ser>
        <c:ser>
          <c:idx val="9"/>
          <c:order val="9"/>
          <c:tx>
            <c:strRef>
              <c:f>'35-نموذج4 حسب نوع الجرم (محكمة)'!$A$14</c:f>
              <c:strCache>
                <c:ptCount val="1"/>
                <c:pt idx="0">
                  <c:v>عدم الإفصاح عن تضارب المصالح</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(محكمة)'!$B$14:$E$14</c:f>
              <c:numCache>
                <c:formatCode>General</c:formatCode>
                <c:ptCount val="4"/>
                <c:pt idx="0">
                  <c:v>4</c:v>
                </c:pt>
                <c:pt idx="1">
                  <c:v>6</c:v>
                </c:pt>
                <c:pt idx="2">
                  <c:v>3</c:v>
                </c:pt>
                <c:pt idx="3">
                  <c:v>3</c:v>
                </c:pt>
              </c:numCache>
            </c:numRef>
          </c:val>
          <c:extLst>
            <c:ext xmlns:c16="http://schemas.microsoft.com/office/drawing/2014/chart" uri="{C3380CC4-5D6E-409C-BE32-E72D297353CC}">
              <c16:uniqueId val="{00000009-FACF-4D33-91C5-6253A53C3237}"/>
            </c:ext>
          </c:extLst>
        </c:ser>
        <c:ser>
          <c:idx val="10"/>
          <c:order val="10"/>
          <c:tx>
            <c:strRef>
              <c:f>'35-نموذج4 حسب نوع الجرم (محكمة)'!$A$15</c:f>
              <c:strCache>
                <c:ptCount val="1"/>
                <c:pt idx="0">
                  <c:v>غسل الأموال الناتجة عن جرائم فساد</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(محكمة)'!$B$15:$E$15</c:f>
              <c:numCache>
                <c:formatCode>General</c:formatCode>
                <c:ptCount val="4"/>
                <c:pt idx="0">
                  <c:v>0</c:v>
                </c:pt>
                <c:pt idx="1">
                  <c:v>1</c:v>
                </c:pt>
                <c:pt idx="2">
                  <c:v>2</c:v>
                </c:pt>
                <c:pt idx="3">
                  <c:v>1</c:v>
                </c:pt>
              </c:numCache>
            </c:numRef>
          </c:val>
          <c:extLst>
            <c:ext xmlns:c16="http://schemas.microsoft.com/office/drawing/2014/chart" uri="{C3380CC4-5D6E-409C-BE32-E72D297353CC}">
              <c16:uniqueId val="{0000000A-FACF-4D33-91C5-6253A53C3237}"/>
            </c:ext>
          </c:extLst>
        </c:ser>
        <c:ser>
          <c:idx val="11"/>
          <c:order val="11"/>
          <c:tx>
            <c:strRef>
              <c:f>'35-نموذج4 حسب نوع الجرم (محكمة)'!$A$16</c:f>
              <c:strCache>
                <c:ptCount val="1"/>
                <c:pt idx="0">
                  <c:v>المتاجرة بالنفوذ</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(محكمة)'!$B$16:$E$16</c:f>
              <c:numCache>
                <c:formatCode>General</c:formatCode>
                <c:ptCount val="4"/>
                <c:pt idx="0">
                  <c:v>0</c:v>
                </c:pt>
                <c:pt idx="1">
                  <c:v>2</c:v>
                </c:pt>
                <c:pt idx="2">
                  <c:v>0</c:v>
                </c:pt>
                <c:pt idx="3">
                  <c:v>4</c:v>
                </c:pt>
              </c:numCache>
            </c:numRef>
          </c:val>
          <c:extLst>
            <c:ext xmlns:c16="http://schemas.microsoft.com/office/drawing/2014/chart" uri="{C3380CC4-5D6E-409C-BE32-E72D297353CC}">
              <c16:uniqueId val="{0000000B-FACF-4D33-91C5-6253A53C3237}"/>
            </c:ext>
          </c:extLst>
        </c:ser>
        <c:ser>
          <c:idx val="12"/>
          <c:order val="12"/>
          <c:tx>
            <c:strRef>
              <c:f>'35-نموذج4 حسب نوع الجرم (محكمة)'!$A$17</c:f>
              <c:strCache>
                <c:ptCount val="1"/>
                <c:pt idx="0">
                  <c:v>إعاقة سير العدالة</c:v>
                </c:pt>
              </c:strCache>
            </c:strRef>
          </c:tx>
          <c:spPr>
            <a:solidFill>
              <a:srgbClr val="AABAD7"/>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(محكمة)'!$B$17:$E$17</c:f>
              <c:numCache>
                <c:formatCode>General</c:formatCode>
                <c:ptCount val="4"/>
                <c:pt idx="0">
                  <c:v>0</c:v>
                </c:pt>
                <c:pt idx="1">
                  <c:v>0</c:v>
                </c:pt>
                <c:pt idx="2">
                  <c:v>0</c:v>
                </c:pt>
                <c:pt idx="3">
                  <c:v>6</c:v>
                </c:pt>
              </c:numCache>
            </c:numRef>
          </c:val>
          <c:extLst>
            <c:ext xmlns:c16="http://schemas.microsoft.com/office/drawing/2014/chart" uri="{C3380CC4-5D6E-409C-BE32-E72D297353CC}">
              <c16:uniqueId val="{0000000C-FACF-4D33-91C5-6253A53C3237}"/>
            </c:ext>
          </c:extLst>
        </c:ser>
        <c:ser>
          <c:idx val="13"/>
          <c:order val="13"/>
          <c:tx>
            <c:strRef>
              <c:f>'35-نموذج4 حسب نوع الجرم (محكمة)'!$A$18</c:f>
              <c:strCache>
                <c:ptCount val="1"/>
                <c:pt idx="0">
                  <c:v>عدم اختصاص (للغير/القطاع الخاص)</c:v>
                </c:pt>
              </c:strCache>
            </c:strRef>
          </c:tx>
          <c:spPr>
            <a:solidFill>
              <a:srgbClr val="D8AAA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'35-نموذج4 حسب نوع الجرم (محكمة)'!$B$4:$E$4</c:f>
              <c:strCache>
                <c:ptCount val="4"/>
                <c:pt idx="0">
                  <c:v>2022</c:v>
                </c:pt>
                <c:pt idx="1">
                  <c:v>2023</c:v>
                </c:pt>
                <c:pt idx="2">
                  <c:v>2024</c:v>
                </c:pt>
                <c:pt idx="3">
                  <c:v>2025</c:v>
                </c:pt>
              </c:strCache>
            </c:strRef>
          </c:cat>
          <c:val>
            <c:numRef>
              <c:f>'35-نموذج4 حسب نوع الجرم (محكمة)'!$B$18:$E$18</c:f>
              <c:numCache>
                <c:formatCode>General</c:formatCode>
                <c:ptCount val="4"/>
                <c:pt idx="0">
                  <c:v>0</c:v>
                </c:pt>
                <c:pt idx="1">
                  <c:v>0</c:v>
                </c:pt>
                <c:pt idx="2">
                  <c:v>0</c:v>
                </c:pt>
                <c:pt idx="3">
                  <c:v>6</c:v>
                </c:pt>
              </c:numCache>
            </c:numRef>
          </c:val>
          <c:extLst>
            <c:ext xmlns:c16="http://schemas.microsoft.com/office/drawing/2014/chart" uri="{C3380CC4-5D6E-409C-BE32-E72D297353CC}">
              <c16:uniqueId val="{0000000D-FACF-4D33-91C5-6253A53C3237}"/>
            </c:ext>
          </c:extLst>
        </c:ser>
        <c:dLbls>
          <c:showLegendKey val="0"/>
          <c:showVal val="0"/>
          <c:showCatName val="0"/>
          <c:showSerName val="0"/>
          <c:showPercent val="0"/>
          <c:showBubbleSize val="0"/>
        </c:dLbls>
        <c:gapWidth val="150"/>
        <c:axId val="92579429"/>
        <c:axId val="58566785"/>
      </c:barChart>
      <c:catAx>
        <c:axId val="9257942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8566785"/>
        <c:crosses val="autoZero"/>
        <c:auto val="1"/>
        <c:lblAlgn val="ctr"/>
        <c:lblOffset val="100"/>
        <c:noMultiLvlLbl val="0"/>
      </c:catAx>
      <c:valAx>
        <c:axId val="5856678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257942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36. القضايا المسجلة حسب القطاع (نموذج رقم 3)</a:t>
            </a:r>
          </a:p>
        </c:rich>
      </c:tx>
      <c:overlay val="0"/>
      <c:spPr>
        <a:noFill/>
        <a:ln w="0">
          <a:noFill/>
        </a:ln>
      </c:spPr>
    </c:title>
    <c:autoTitleDeleted val="0"/>
    <c:plotArea>
      <c:layout/>
      <c:barChart>
        <c:barDir val="col"/>
        <c:grouping val="clustered"/>
        <c:varyColors val="0"/>
        <c:ser>
          <c:idx val="0"/>
          <c:order val="0"/>
          <c:tx>
            <c:strRef>
              <c:f>'36-نموذج3 حسب القطاع (مسجلة)'!$A$5</c:f>
              <c:strCache>
                <c:ptCount val="1"/>
                <c:pt idx="0">
                  <c:v>قطاع عام</c:v>
                </c:pt>
              </c:strCache>
            </c:strRef>
          </c:tx>
          <c:spPr>
            <a:solidFill>
              <a:srgbClr val="4672A8"/>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(مسجلة)'!$B$5:$E$5</c:f>
              <c:numCache>
                <c:formatCode>General</c:formatCode>
                <c:ptCount val="4"/>
                <c:pt idx="0">
                  <c:v>0</c:v>
                </c:pt>
                <c:pt idx="1">
                  <c:v>28</c:v>
                </c:pt>
                <c:pt idx="2">
                  <c:v>23</c:v>
                </c:pt>
                <c:pt idx="3">
                  <c:v>55</c:v>
                </c:pt>
              </c:numCache>
            </c:numRef>
          </c:val>
          <c:extLst>
            <c:ext xmlns:c16="http://schemas.microsoft.com/office/drawing/2014/chart" uri="{C3380CC4-5D6E-409C-BE32-E72D297353CC}">
              <c16:uniqueId val="{00000000-3D03-474D-B3D0-84A32566F7CE}"/>
            </c:ext>
          </c:extLst>
        </c:ser>
        <c:ser>
          <c:idx val="1"/>
          <c:order val="1"/>
          <c:tx>
            <c:strRef>
              <c:f>'36-نموذج3 حسب القطاع (مسجلة)'!$A$6</c:f>
              <c:strCache>
                <c:ptCount val="1"/>
                <c:pt idx="0">
                  <c:v>هيئات محلية</c:v>
                </c:pt>
              </c:strCache>
            </c:strRef>
          </c:tx>
          <c:spPr>
            <a:solidFill>
              <a:srgbClr val="AB474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(مسجلة)'!$B$6:$E$6</c:f>
              <c:numCache>
                <c:formatCode>General</c:formatCode>
                <c:ptCount val="4"/>
                <c:pt idx="0">
                  <c:v>0</c:v>
                </c:pt>
                <c:pt idx="1">
                  <c:v>20</c:v>
                </c:pt>
                <c:pt idx="2">
                  <c:v>19</c:v>
                </c:pt>
                <c:pt idx="3">
                  <c:v>13</c:v>
                </c:pt>
              </c:numCache>
            </c:numRef>
          </c:val>
          <c:extLst>
            <c:ext xmlns:c16="http://schemas.microsoft.com/office/drawing/2014/chart" uri="{C3380CC4-5D6E-409C-BE32-E72D297353CC}">
              <c16:uniqueId val="{00000001-3D03-474D-B3D0-84A32566F7CE}"/>
            </c:ext>
          </c:extLst>
        </c:ser>
        <c:ser>
          <c:idx val="2"/>
          <c:order val="2"/>
          <c:tx>
            <c:strRef>
              <c:f>'36-نموذج3 حسب القطاع (مسجلة)'!$A$7</c:f>
              <c:strCache>
                <c:ptCount val="1"/>
                <c:pt idx="0">
                  <c:v>جمعيات</c:v>
                </c:pt>
              </c:strCache>
            </c:strRef>
          </c:tx>
          <c:spPr>
            <a:solidFill>
              <a:srgbClr val="8AA64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(مسجلة)'!$B$7:$E$7</c:f>
              <c:numCache>
                <c:formatCode>General</c:formatCode>
                <c:ptCount val="4"/>
                <c:pt idx="0">
                  <c:v>0</c:v>
                </c:pt>
                <c:pt idx="1">
                  <c:v>3</c:v>
                </c:pt>
                <c:pt idx="2">
                  <c:v>0</c:v>
                </c:pt>
                <c:pt idx="3">
                  <c:v>4</c:v>
                </c:pt>
              </c:numCache>
            </c:numRef>
          </c:val>
          <c:extLst>
            <c:ext xmlns:c16="http://schemas.microsoft.com/office/drawing/2014/chart" uri="{C3380CC4-5D6E-409C-BE32-E72D297353CC}">
              <c16:uniqueId val="{00000002-3D03-474D-B3D0-84A32566F7CE}"/>
            </c:ext>
          </c:extLst>
        </c:ser>
        <c:ser>
          <c:idx val="3"/>
          <c:order val="3"/>
          <c:tx>
            <c:strRef>
              <c:f>'36-نموذج3 حسب القطاع (مسجلة)'!$A$8</c:f>
              <c:strCache>
                <c:ptCount val="1"/>
                <c:pt idx="0">
                  <c:v>اتحادات ونقابات</c:v>
                </c:pt>
              </c:strCache>
            </c:strRef>
          </c:tx>
          <c:spPr>
            <a:solidFill>
              <a:srgbClr val="72599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(مسجلة)'!$B$8:$E$8</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03-3D03-474D-B3D0-84A32566F7CE}"/>
            </c:ext>
          </c:extLst>
        </c:ser>
        <c:ser>
          <c:idx val="4"/>
          <c:order val="4"/>
          <c:tx>
            <c:strRef>
              <c:f>'36-نموذج3 حسب القطاع (مسجلة)'!$A$9</c:f>
              <c:strCache>
                <c:ptCount val="1"/>
                <c:pt idx="0">
                  <c:v>مؤسسات تقوم بخدمة عامة</c:v>
                </c:pt>
              </c:strCache>
            </c:strRef>
          </c:tx>
          <c:spPr>
            <a:solidFill>
              <a:srgbClr val="4299B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(مسجلة)'!$B$9:$E$9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4-3D03-474D-B3D0-84A32566F7CE}"/>
            </c:ext>
          </c:extLst>
        </c:ser>
        <c:ser>
          <c:idx val="5"/>
          <c:order val="5"/>
          <c:tx>
            <c:strRef>
              <c:f>'36-نموذج3 حسب القطاع (مسجلة)'!$A$10</c:f>
              <c:strCache>
                <c:ptCount val="1"/>
                <c:pt idx="0">
                  <c:v>شركات تساهم عامة فيها الدولة</c:v>
                </c:pt>
              </c:strCache>
            </c:strRef>
          </c:tx>
          <c:spPr>
            <a:solidFill>
              <a:srgbClr val="DC853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(مسجلة)'!$B$10:$E$10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5-3D03-474D-B3D0-84A32566F7CE}"/>
            </c:ext>
          </c:extLst>
        </c:ser>
        <c:ser>
          <c:idx val="6"/>
          <c:order val="6"/>
          <c:tx>
            <c:strRef>
              <c:f>'36-نموذج3 حسب القطاع (مسجلة)'!$A$11</c:f>
              <c:strCache>
                <c:ptCount val="1"/>
                <c:pt idx="0">
                  <c:v>أخرى</c:v>
                </c:pt>
              </c:strCache>
            </c:strRef>
          </c:tx>
          <c:spPr>
            <a:solidFill>
              <a:srgbClr val="93A9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'36-نموذج3 حسب القطاع (مسجلة)'!$B$4:$E$4</c:f>
              <c:strCache>
                <c:ptCount val="4"/>
                <c:pt idx="0">
                  <c:v>2022</c:v>
                </c:pt>
                <c:pt idx="1">
                  <c:v>2023</c:v>
                </c:pt>
                <c:pt idx="2">
                  <c:v>2024</c:v>
                </c:pt>
                <c:pt idx="3">
                  <c:v>2025</c:v>
                </c:pt>
              </c:strCache>
            </c:strRef>
          </c:cat>
          <c:val>
            <c:numRef>
              <c:f>'36-نموذج3 حسب القطاع (مسجلة)'!$B$11:$E$11</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6-3D03-474D-B3D0-84A32566F7CE}"/>
            </c:ext>
          </c:extLst>
        </c:ser>
        <c:dLbls>
          <c:showLegendKey val="0"/>
          <c:showVal val="0"/>
          <c:showCatName val="0"/>
          <c:showSerName val="0"/>
          <c:showPercent val="0"/>
          <c:showBubbleSize val="0"/>
        </c:dLbls>
        <c:gapWidth val="150"/>
        <c:axId val="24695859"/>
        <c:axId val="19158622"/>
      </c:barChart>
      <c:catAx>
        <c:axId val="2469585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9158622"/>
        <c:crosses val="autoZero"/>
        <c:auto val="1"/>
        <c:lblAlgn val="ctr"/>
        <c:lblOffset val="100"/>
        <c:noMultiLvlLbl val="0"/>
      </c:catAx>
      <c:valAx>
        <c:axId val="19158622"/>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469585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11ب. عدد الجهات المكلفة بتقديم إقرارات الذمة المالية</a:t>
            </a:r>
          </a:p>
        </c:rich>
      </c:tx>
      <c:overlay val="0"/>
      <c:spPr>
        <a:noFill/>
        <a:ln w="0">
          <a:noFill/>
        </a:ln>
      </c:spPr>
    </c:title>
    <c:autoTitleDeleted val="0"/>
    <c:plotArea>
      <c:layout/>
      <c:barChart>
        <c:barDir val="col"/>
        <c:grouping val="clustered"/>
        <c:varyColors val="0"/>
        <c:ser>
          <c:idx val="0"/>
          <c:order val="0"/>
          <c:tx>
            <c:strRef>
              <c:f>'11ب-الجهات المكلفة'!$A$10</c:f>
              <c:strCache>
                <c:ptCount val="1"/>
                <c:pt idx="0">
                  <c:v>عدد الجهات المكلفة (رقمي)</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'11ب-الجهات المكلفة'!$B$3:$E$3</c:f>
              <c:numCache>
                <c:formatCode>General</c:formatCode>
                <c:ptCount val="4"/>
              </c:numCache>
            </c:numRef>
          </c:cat>
          <c:val>
            <c:numRef>
              <c:f>'11ب-الجهات المكلفة'!$B$10:$E$10</c:f>
              <c:numCache>
                <c:formatCode>General</c:formatCode>
                <c:ptCount val="4"/>
                <c:pt idx="0">
                  <c:v>140</c:v>
                </c:pt>
                <c:pt idx="1">
                  <c:v>130</c:v>
                </c:pt>
                <c:pt idx="2">
                  <c:v>33</c:v>
                </c:pt>
                <c:pt idx="3">
                  <c:v>31</c:v>
                </c:pt>
              </c:numCache>
            </c:numRef>
          </c:val>
          <c:extLst>
            <c:ext xmlns:c16="http://schemas.microsoft.com/office/drawing/2014/chart" uri="{C3380CC4-5D6E-409C-BE32-E72D297353CC}">
              <c16:uniqueId val="{00000000-DC3A-4644-B653-BB2EEEC574D3}"/>
            </c:ext>
          </c:extLst>
        </c:ser>
        <c:dLbls>
          <c:showLegendKey val="0"/>
          <c:showVal val="0"/>
          <c:showCatName val="0"/>
          <c:showSerName val="0"/>
          <c:showPercent val="0"/>
          <c:showBubbleSize val="0"/>
        </c:dLbls>
        <c:gapWidth val="150"/>
        <c:axId val="84799854"/>
        <c:axId val="52034284"/>
      </c:barChart>
      <c:catAx>
        <c:axId val="8479985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034284"/>
        <c:crosses val="autoZero"/>
        <c:auto val="1"/>
        <c:lblAlgn val="ctr"/>
        <c:lblOffset val="100"/>
        <c:noMultiLvlLbl val="0"/>
      </c:catAx>
      <c:valAx>
        <c:axId val="5203428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79985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500" b="1" strike="noStrike" spc="97">
                <a:solidFill>
                  <a:srgbClr val="FFFFFF"/>
                </a:solidFill>
                <a:latin typeface="Calibri"/>
              </a:defRPr>
            </a:pPr>
            <a:r>
              <a:rPr lang="ar-SA" sz="1500" b="1" strike="noStrike" spc="97">
                <a:solidFill>
                  <a:srgbClr val="FFFFFF"/>
                </a:solidFill>
                <a:latin typeface="Calibri"/>
              </a:rPr>
              <a:t>12ب. عدد الإقرارات الدورية (تجديد كل 5 سنوات)</a:t>
            </a:r>
          </a:p>
        </c:rich>
      </c:tx>
      <c:overlay val="0"/>
      <c:spPr>
        <a:noFill/>
        <a:ln w="0">
          <a:noFill/>
        </a:ln>
      </c:spPr>
    </c:title>
    <c:autoTitleDeleted val="0"/>
    <c:plotArea>
      <c:layout/>
      <c:lineChart>
        <c:grouping val="standard"/>
        <c:varyColors val="0"/>
        <c:ser>
          <c:idx val="0"/>
          <c:order val="0"/>
          <c:tx>
            <c:strRef>
              <c:f>'12ب-إقرارات دورية'!$A$5</c:f>
              <c:strCache>
                <c:ptCount val="1"/>
                <c:pt idx="0">
                  <c:v>عدد الإقرارات الدورية</c:v>
                </c:pt>
              </c:strCache>
            </c:strRef>
          </c:tx>
          <c:spPr>
            <a:ln w="25560" cap="rnd">
              <a:solidFill>
                <a:srgbClr val="FFFFFF"/>
              </a:solidFill>
              <a:round/>
            </a:ln>
          </c:spPr>
          <c:marker>
            <c:symbol val="none"/>
          </c:marker>
          <c:dLbls>
            <c:spPr>
              <a:solidFill>
                <a:srgbClr val="4F81BD"/>
              </a:solidFill>
            </c:spPr>
            <c:txPr>
              <a:bodyPr wrap="square"/>
              <a:lstStyle/>
              <a:p>
                <a:pPr>
                  <a:defRPr sz="900" b="1" strike="noStrike" spc="-1">
                    <a:solidFill>
                      <a:srgbClr val="FFFFFF"/>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'12ب-إقرارات دورية'!$B$4:$E$4</c:f>
              <c:strCache>
                <c:ptCount val="4"/>
                <c:pt idx="0">
                  <c:v>2022</c:v>
                </c:pt>
                <c:pt idx="1">
                  <c:v>2023</c:v>
                </c:pt>
                <c:pt idx="2">
                  <c:v>2024</c:v>
                </c:pt>
                <c:pt idx="3">
                  <c:v>2025</c:v>
                </c:pt>
              </c:strCache>
            </c:strRef>
          </c:cat>
          <c:val>
            <c:numRef>
              <c:f>'12ب-إقرارات دورية'!$B$5:$E$5</c:f>
              <c:numCache>
                <c:formatCode>General</c:formatCode>
                <c:ptCount val="4"/>
                <c:pt idx="0">
                  <c:v>1507</c:v>
                </c:pt>
                <c:pt idx="1">
                  <c:v>1350</c:v>
                </c:pt>
                <c:pt idx="2">
                  <c:v>2057</c:v>
                </c:pt>
                <c:pt idx="3">
                  <c:v>1570</c:v>
                </c:pt>
              </c:numCache>
            </c:numRef>
          </c:val>
          <c:smooth val="1"/>
          <c:extLst>
            <c:ext xmlns:c16="http://schemas.microsoft.com/office/drawing/2014/chart" uri="{C3380CC4-5D6E-409C-BE32-E72D297353CC}">
              <c16:uniqueId val="{00000000-E706-4B23-8F9E-120DD9D2FA72}"/>
            </c:ext>
          </c:extLst>
        </c:ser>
        <c:dLbls>
          <c:showLegendKey val="0"/>
          <c:showVal val="0"/>
          <c:showCatName val="0"/>
          <c:showSerName val="0"/>
          <c:showPercent val="0"/>
          <c:showBubbleSize val="0"/>
        </c:dLbls>
        <c:hiLowLines>
          <c:spPr>
            <a:ln w="0">
              <a:noFill/>
            </a:ln>
          </c:spPr>
        </c:hiLowLines>
        <c:smooth val="0"/>
        <c:axId val="71275107"/>
        <c:axId val="39496512"/>
      </c:lineChart>
      <c:catAx>
        <c:axId val="71275107"/>
        <c:scaling>
          <c:orientation val="minMax"/>
        </c:scaling>
        <c:delete val="0"/>
        <c:axPos val="b"/>
        <c:numFmt formatCode="General" sourceLinked="0"/>
        <c:majorTickMark val="none"/>
        <c:minorTickMark val="none"/>
        <c:tickLblPos val="nextTo"/>
        <c:spPr>
          <a:ln w="9360">
            <a:noFill/>
          </a:ln>
        </c:spPr>
        <c:txPr>
          <a:bodyPr/>
          <a:lstStyle/>
          <a:p>
            <a:pPr>
              <a:defRPr sz="900" b="0" strike="noStrike" spc="29">
                <a:solidFill>
                  <a:srgbClr val="FFFFFF"/>
                </a:solidFill>
                <a:latin typeface="Calibri"/>
              </a:defRPr>
            </a:pPr>
            <a:endParaRPr lang="en-US"/>
          </a:p>
        </c:txPr>
        <c:crossAx val="39496512"/>
        <c:crosses val="autoZero"/>
        <c:auto val="1"/>
        <c:lblAlgn val="ctr"/>
        <c:lblOffset val="100"/>
        <c:noMultiLvlLbl val="0"/>
      </c:catAx>
      <c:valAx>
        <c:axId val="39496512"/>
        <c:scaling>
          <c:orientation val="minMax"/>
        </c:scaling>
        <c:delete val="1"/>
        <c:axPos val="l"/>
        <c:numFmt formatCode="General" sourceLinked="1"/>
        <c:majorTickMark val="none"/>
        <c:minorTickMark val="none"/>
        <c:tickLblPos val="nextTo"/>
        <c:crossAx val="71275107"/>
        <c:crosses val="autoZero"/>
        <c:crossBetween val="between"/>
      </c:valAx>
      <c:spPr>
        <a:noFill/>
        <a:ln w="0">
          <a:noFill/>
        </a:ln>
      </c:spPr>
    </c:plotArea>
    <c:legend>
      <c:legendPos val="t"/>
      <c:overlay val="0"/>
      <c:spPr>
        <a:noFill/>
        <a:ln w="0">
          <a:noFill/>
        </a:ln>
      </c:spPr>
      <c:txPr>
        <a:bodyPr/>
        <a:lstStyle/>
        <a:p>
          <a:pPr>
            <a:defRPr sz="900" b="0" strike="noStrike" spc="-1">
              <a:solidFill>
                <a:srgbClr val="FFFFFF"/>
              </a:solidFill>
              <a:latin typeface="Calibri"/>
            </a:defRPr>
          </a:pPr>
          <a:endParaRPr lang="en-US"/>
        </a:p>
      </c:txPr>
    </c:legend>
    <c:plotVisOnly val="1"/>
    <c:dispBlanksAs val="gap"/>
    <c:showDLblsOverMax val="1"/>
  </c:chart>
  <c:spPr>
    <a:solidFill>
      <a:srgbClr val="4F81BD"/>
    </a:solidFill>
    <a:ln w="9360">
      <a:solidFill>
        <a:srgbClr val="D9D9D9"/>
      </a:solidFill>
      <a:roun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12ج. المجموع التراكمي لإقرارات الذمة المالية المستلمة منذ عام 2012</a:t>
            </a:r>
          </a:p>
        </c:rich>
      </c:tx>
      <c:overlay val="0"/>
      <c:spPr>
        <a:noFill/>
        <a:ln w="0">
          <a:noFill/>
        </a:ln>
      </c:spPr>
    </c:title>
    <c:autoTitleDeleted val="0"/>
    <c:plotArea>
      <c:layout/>
      <c:barChart>
        <c:barDir val="col"/>
        <c:grouping val="clustered"/>
        <c:varyColors val="0"/>
        <c:ser>
          <c:idx val="0"/>
          <c:order val="0"/>
          <c:tx>
            <c:strRef>
              <c:f>'12ج-المجموع التراكمي'!$A$5</c:f>
              <c:strCache>
                <c:ptCount val="1"/>
                <c:pt idx="0">
                  <c:v>المجموع التراكمي (منذ 2012)</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'12ج-المجموع التراكمي'!$B$4:$E$4</c:f>
              <c:strCache>
                <c:ptCount val="4"/>
                <c:pt idx="0">
                  <c:v>2022</c:v>
                </c:pt>
                <c:pt idx="1">
                  <c:v>2023</c:v>
                </c:pt>
                <c:pt idx="2">
                  <c:v>2024</c:v>
                </c:pt>
                <c:pt idx="3">
                  <c:v>2025</c:v>
                </c:pt>
              </c:strCache>
            </c:strRef>
          </c:cat>
          <c:val>
            <c:numRef>
              <c:f>'12ج-المجموع التراكمي'!$B$5:$E$5</c:f>
              <c:numCache>
                <c:formatCode>General</c:formatCode>
                <c:ptCount val="4"/>
                <c:pt idx="0">
                  <c:v>66951</c:v>
                </c:pt>
                <c:pt idx="1">
                  <c:v>69787</c:v>
                </c:pt>
                <c:pt idx="2">
                  <c:v>72329</c:v>
                </c:pt>
                <c:pt idx="3">
                  <c:v>74411</c:v>
                </c:pt>
              </c:numCache>
            </c:numRef>
          </c:val>
          <c:extLst>
            <c:ext xmlns:c16="http://schemas.microsoft.com/office/drawing/2014/chart" uri="{C3380CC4-5D6E-409C-BE32-E72D297353CC}">
              <c16:uniqueId val="{00000000-702E-4868-9488-B19B98794286}"/>
            </c:ext>
          </c:extLst>
        </c:ser>
        <c:ser>
          <c:idx val="1"/>
          <c:order val="1"/>
          <c:tx>
            <c:strRef>
              <c:f>'12ج-المجموع التراكمي'!$A$6</c:f>
              <c:strCache>
                <c:ptCount val="1"/>
                <c:pt idx="0">
                  <c:v>صافي الزيادة السنوية</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'12ج-المجموع التراكمي'!$B$4:$E$4</c:f>
              <c:strCache>
                <c:ptCount val="4"/>
                <c:pt idx="0">
                  <c:v>2022</c:v>
                </c:pt>
                <c:pt idx="1">
                  <c:v>2023</c:v>
                </c:pt>
                <c:pt idx="2">
                  <c:v>2024</c:v>
                </c:pt>
                <c:pt idx="3">
                  <c:v>2025</c:v>
                </c:pt>
              </c:strCache>
            </c:strRef>
          </c:cat>
          <c:val>
            <c:numRef>
              <c:f>'12ج-المجموع التراكمي'!$B$6:$E$6</c:f>
              <c:numCache>
                <c:formatCode>General</c:formatCode>
                <c:ptCount val="4"/>
                <c:pt idx="1">
                  <c:v>2836</c:v>
                </c:pt>
                <c:pt idx="2">
                  <c:v>2542</c:v>
                </c:pt>
                <c:pt idx="3">
                  <c:v>2082</c:v>
                </c:pt>
              </c:numCache>
            </c:numRef>
          </c:val>
          <c:extLst>
            <c:ext xmlns:c16="http://schemas.microsoft.com/office/drawing/2014/chart" uri="{C3380CC4-5D6E-409C-BE32-E72D297353CC}">
              <c16:uniqueId val="{00000001-702E-4868-9488-B19B98794286}"/>
            </c:ext>
          </c:extLst>
        </c:ser>
        <c:dLbls>
          <c:showLegendKey val="0"/>
          <c:showVal val="0"/>
          <c:showCatName val="0"/>
          <c:showSerName val="0"/>
          <c:showPercent val="0"/>
          <c:showBubbleSize val="0"/>
        </c:dLbls>
        <c:gapWidth val="150"/>
        <c:axId val="84069803"/>
        <c:axId val="11827657"/>
      </c:barChart>
      <c:catAx>
        <c:axId val="8406980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1827657"/>
        <c:crosses val="autoZero"/>
        <c:auto val="1"/>
        <c:lblAlgn val="ctr"/>
        <c:lblOffset val="100"/>
        <c:noMultiLvlLbl val="0"/>
      </c:catAx>
      <c:valAx>
        <c:axId val="11827657"/>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06980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12د. التوزيع النسبي التراكمي للإقرارات حسب فئة المكلفين (2012-2024)</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E2BB-4F53-BF76-ED7AD56A1CA8}"/>
              </c:ext>
            </c:extLst>
          </c:dPt>
          <c:dPt>
            <c:idx val="1"/>
            <c:bubble3D val="0"/>
            <c:spPr>
              <a:solidFill>
                <a:srgbClr val="C0504D"/>
              </a:solidFill>
              <a:ln w="0">
                <a:noFill/>
              </a:ln>
            </c:spPr>
            <c:extLst>
              <c:ext xmlns:c16="http://schemas.microsoft.com/office/drawing/2014/chart" uri="{C3380CC4-5D6E-409C-BE32-E72D297353CC}">
                <c16:uniqueId val="{00000003-E2BB-4F53-BF76-ED7AD56A1CA8}"/>
              </c:ext>
            </c:extLst>
          </c:dPt>
          <c:dPt>
            <c:idx val="2"/>
            <c:bubble3D val="0"/>
            <c:spPr>
              <a:solidFill>
                <a:srgbClr val="9BBB59"/>
              </a:solidFill>
              <a:ln w="0">
                <a:noFill/>
              </a:ln>
            </c:spPr>
            <c:extLst>
              <c:ext xmlns:c16="http://schemas.microsoft.com/office/drawing/2014/chart" uri="{C3380CC4-5D6E-409C-BE32-E72D297353CC}">
                <c16:uniqueId val="{00000005-E2BB-4F53-BF76-ED7AD56A1CA8}"/>
              </c:ext>
            </c:extLst>
          </c:dPt>
          <c:dPt>
            <c:idx val="3"/>
            <c:bubble3D val="0"/>
            <c:spPr>
              <a:solidFill>
                <a:srgbClr val="8064A2"/>
              </a:solidFill>
              <a:ln w="0">
                <a:noFill/>
              </a:ln>
            </c:spPr>
            <c:extLst>
              <c:ext xmlns:c16="http://schemas.microsoft.com/office/drawing/2014/chart" uri="{C3380CC4-5D6E-409C-BE32-E72D297353CC}">
                <c16:uniqueId val="{00000007-E2BB-4F53-BF76-ED7AD56A1CA8}"/>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2BB-4F53-BF76-ED7AD56A1CA8}"/>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2BB-4F53-BF76-ED7AD56A1CA8}"/>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2BB-4F53-BF76-ED7AD56A1CA8}"/>
                </c:ext>
              </c:extLst>
            </c:dLbl>
            <c:dLbl>
              <c:idx val="3"/>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2BB-4F53-BF76-ED7AD56A1CA8}"/>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'12د-التوزيع حسب الفئة'!$A$5:$A$8</c:f>
              <c:strCache>
                <c:ptCount val="4"/>
                <c:pt idx="0">
                  <c:v>الموظفون المدنيون</c:v>
                </c:pt>
                <c:pt idx="1">
                  <c:v>منتسبو الأجهزة الأمنية والعسكرية</c:v>
                </c:pt>
                <c:pt idx="2">
                  <c:v>الهيئات المحلية</c:v>
                </c:pt>
                <c:pt idx="3">
                  <c:v>مؤسسات منظمة التحرير</c:v>
                </c:pt>
              </c:strCache>
            </c:strRef>
          </c:cat>
          <c:val>
            <c:numRef>
              <c:f>'12د-التوزيع حسب الفئة'!$B$5:$B$8</c:f>
              <c:numCache>
                <c:formatCode>General</c:formatCode>
                <c:ptCount val="4"/>
                <c:pt idx="0">
                  <c:v>34935</c:v>
                </c:pt>
                <c:pt idx="1">
                  <c:v>20744</c:v>
                </c:pt>
                <c:pt idx="2">
                  <c:v>10265</c:v>
                </c:pt>
                <c:pt idx="3">
                  <c:v>2744</c:v>
                </c:pt>
              </c:numCache>
            </c:numRef>
          </c:val>
          <c:extLst>
            <c:ext xmlns:c16="http://schemas.microsoft.com/office/drawing/2014/chart" uri="{C3380CC4-5D6E-409C-BE32-E72D297353CC}">
              <c16:uniqueId val="{00000008-E2BB-4F53-BF76-ED7AD56A1CA8}"/>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15</xdr:col>
      <xdr:colOff>-486720</xdr:colOff>
      <xdr:row>13</xdr:row>
      <xdr:rowOff>118800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15</xdr:col>
      <xdr:colOff>200145</xdr:colOff>
      <xdr:row>16</xdr:row>
      <xdr:rowOff>12240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-613800</xdr:colOff>
      <xdr:row>18</xdr:row>
      <xdr:rowOff>0</xdr:rowOff>
    </xdr:from>
    <xdr:to>
      <xdr:col>15</xdr:col>
      <xdr:colOff>200145</xdr:colOff>
      <xdr:row>33</xdr:row>
      <xdr:rowOff>12240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548250</xdr:colOff>
      <xdr:row>1</xdr:row>
      <xdr:rowOff>0</xdr:rowOff>
    </xdr:from>
    <xdr:to>
      <xdr:col>15</xdr:col>
      <xdr:colOff>200145</xdr:colOff>
      <xdr:row>16</xdr:row>
      <xdr:rowOff>12240</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12240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97920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12240</xdr:rowOff>
    </xdr:to>
    <xdr:graphicFrame macro="">
      <xdr:nvGraphicFramePr>
        <xdr:cNvPr id="6" name="Chart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224400</xdr:colOff>
      <xdr:row>0</xdr:row>
      <xdr:rowOff>152400</xdr:rowOff>
    </xdr:from>
    <xdr:to>
      <xdr:col>23</xdr:col>
      <xdr:colOff>457320</xdr:colOff>
      <xdr:row>15</xdr:row>
      <xdr:rowOff>126540</xdr:rowOff>
    </xdr:to>
    <xdr:graphicFrame macro="">
      <xdr:nvGraphicFramePr>
        <xdr:cNvPr id="7" name="Chart 1">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319650</xdr:colOff>
      <xdr:row>1</xdr:row>
      <xdr:rowOff>180975</xdr:rowOff>
    </xdr:from>
    <xdr:to>
      <xdr:col>23</xdr:col>
      <xdr:colOff>552570</xdr:colOff>
      <xdr:row>17</xdr:row>
      <xdr:rowOff>2715</xdr:rowOff>
    </xdr:to>
    <xdr:graphicFrame macro="">
      <xdr:nvGraphicFramePr>
        <xdr:cNvPr id="8" name="Chart 1">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12240</xdr:rowOff>
    </xdr:to>
    <xdr:graphicFrame macro="">
      <xdr:nvGraphicFramePr>
        <xdr:cNvPr id="9" name="Chart 1">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15</xdr:col>
      <xdr:colOff>-486720</xdr:colOff>
      <xdr:row>14</xdr:row>
      <xdr:rowOff>33120</xdr:rowOff>
    </xdr:to>
    <xdr:graphicFrame macro="">
      <xdr:nvGraphicFramePr>
        <xdr:cNvPr id="10" name="Chart 1">
          <a:extLst>
            <a:ext uri="{FF2B5EF4-FFF2-40B4-BE49-F238E27FC236}">
              <a16:creationId xmlns:a16="http://schemas.microsoft.com/office/drawing/2014/main" id="{00000000-0008-0000-0C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117000</xdr:rowOff>
    </xdr:to>
    <xdr:graphicFrame macro="">
      <xdr:nvGraphicFramePr>
        <xdr:cNvPr id="11" name="Chart 1">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138675</xdr:colOff>
      <xdr:row>1</xdr:row>
      <xdr:rowOff>19050</xdr:rowOff>
    </xdr:from>
    <xdr:to>
      <xdr:col>20</xdr:col>
      <xdr:colOff>371595</xdr:colOff>
      <xdr:row>15</xdr:row>
      <xdr:rowOff>116970</xdr:rowOff>
    </xdr:to>
    <xdr:graphicFrame macro="">
      <xdr:nvGraphicFramePr>
        <xdr:cNvPr id="12" name="Chart 1">
          <a:extLst>
            <a:ext uri="{FF2B5EF4-FFF2-40B4-BE49-F238E27FC236}">
              <a16:creationId xmlns:a16="http://schemas.microsoft.com/office/drawing/2014/main" id="{00000000-0008-0000-0E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510150</xdr:colOff>
      <xdr:row>18</xdr:row>
      <xdr:rowOff>152400</xdr:rowOff>
    </xdr:from>
    <xdr:to>
      <xdr:col>21</xdr:col>
      <xdr:colOff>162045</xdr:colOff>
      <xdr:row>33</xdr:row>
      <xdr:rowOff>174000</xdr:rowOff>
    </xdr:to>
    <xdr:graphicFrame macro="">
      <xdr:nvGraphicFramePr>
        <xdr:cNvPr id="13" name="Chart 2">
          <a:extLst>
            <a:ext uri="{FF2B5EF4-FFF2-40B4-BE49-F238E27FC236}">
              <a16:creationId xmlns:a16="http://schemas.microsoft.com/office/drawing/2014/main" id="{00000000-0008-0000-0E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14</xdr:row>
      <xdr:rowOff>145440</xdr:rowOff>
    </xdr:to>
    <xdr:graphicFrame macro="">
      <xdr:nvGraphicFramePr>
        <xdr:cNvPr id="14" name="Chart 1">
          <a:extLst>
            <a:ext uri="{FF2B5EF4-FFF2-40B4-BE49-F238E27FC236}">
              <a16:creationId xmlns:a16="http://schemas.microsoft.com/office/drawing/2014/main" id="{00000000-0008-0000-0F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16</xdr:col>
      <xdr:colOff>-20520</xdr:colOff>
      <xdr:row>17</xdr:row>
      <xdr:rowOff>181800</xdr:rowOff>
    </xdr:to>
    <xdr:graphicFrame macro="">
      <xdr:nvGraphicFramePr>
        <xdr:cNvPr id="15" name="Chart 1">
          <a:extLst>
            <a:ext uri="{FF2B5EF4-FFF2-40B4-BE49-F238E27FC236}">
              <a16:creationId xmlns:a16="http://schemas.microsoft.com/office/drawing/2014/main" id="{00000000-0008-0000-1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12240</xdr:rowOff>
    </xdr:to>
    <xdr:graphicFrame macro="">
      <xdr:nvGraphicFramePr>
        <xdr:cNvPr id="16" name="Chart 1">
          <a:extLst>
            <a:ext uri="{FF2B5EF4-FFF2-40B4-BE49-F238E27FC236}">
              <a16:creationId xmlns:a16="http://schemas.microsoft.com/office/drawing/2014/main" id="{00000000-0008-0000-1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97920</xdr:rowOff>
    </xdr:to>
    <xdr:graphicFrame macro="">
      <xdr:nvGraphicFramePr>
        <xdr:cNvPr id="17" name="Chart 1">
          <a:extLst>
            <a:ext uri="{FF2B5EF4-FFF2-40B4-BE49-F238E27FC236}">
              <a16:creationId xmlns:a16="http://schemas.microsoft.com/office/drawing/2014/main" id="{00000000-0008-0000-1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12240</xdr:rowOff>
    </xdr:to>
    <xdr:graphicFrame macro="">
      <xdr:nvGraphicFramePr>
        <xdr:cNvPr id="18" name="Chart 1">
          <a:extLst>
            <a:ext uri="{FF2B5EF4-FFF2-40B4-BE49-F238E27FC236}">
              <a16:creationId xmlns:a16="http://schemas.microsoft.com/office/drawing/2014/main" id="{00000000-0008-0000-1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21600</xdr:rowOff>
    </xdr:to>
    <xdr:graphicFrame macro="">
      <xdr:nvGraphicFramePr>
        <xdr:cNvPr id="19" name="Chart 1">
          <a:extLst>
            <a:ext uri="{FF2B5EF4-FFF2-40B4-BE49-F238E27FC236}">
              <a16:creationId xmlns:a16="http://schemas.microsoft.com/office/drawing/2014/main" id="{00000000-0008-0000-17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2880</xdr:rowOff>
    </xdr:to>
    <xdr:graphicFrame macro="">
      <xdr:nvGraphicFramePr>
        <xdr:cNvPr id="20" name="Chart 1">
          <a:extLst>
            <a:ext uri="{FF2B5EF4-FFF2-40B4-BE49-F238E27FC236}">
              <a16:creationId xmlns:a16="http://schemas.microsoft.com/office/drawing/2014/main" id="{00000000-0008-0000-1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-613800</xdr:colOff>
      <xdr:row>18</xdr:row>
      <xdr:rowOff>0</xdr:rowOff>
    </xdr:from>
    <xdr:to>
      <xdr:col>16</xdr:col>
      <xdr:colOff>-380880</xdr:colOff>
      <xdr:row>32</xdr:row>
      <xdr:rowOff>107640</xdr:rowOff>
    </xdr:to>
    <xdr:graphicFrame macro="">
      <xdr:nvGraphicFramePr>
        <xdr:cNvPr id="21" name="Chart 2">
          <a:extLst>
            <a:ext uri="{FF2B5EF4-FFF2-40B4-BE49-F238E27FC236}">
              <a16:creationId xmlns:a16="http://schemas.microsoft.com/office/drawing/2014/main" id="{00000000-0008-0000-1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16</xdr:row>
      <xdr:rowOff>12240</xdr:rowOff>
    </xdr:to>
    <xdr:graphicFrame macro="">
      <xdr:nvGraphicFramePr>
        <xdr:cNvPr id="22" name="Chart 1">
          <a:extLst>
            <a:ext uri="{FF2B5EF4-FFF2-40B4-BE49-F238E27FC236}">
              <a16:creationId xmlns:a16="http://schemas.microsoft.com/office/drawing/2014/main" id="{00000000-0008-0000-19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16</xdr:col>
      <xdr:colOff>-380520</xdr:colOff>
      <xdr:row>16</xdr:row>
      <xdr:rowOff>12240</xdr:rowOff>
    </xdr:to>
    <xdr:graphicFrame macro="">
      <xdr:nvGraphicFramePr>
        <xdr:cNvPr id="23" name="Chart 1">
          <a:extLst>
            <a:ext uri="{FF2B5EF4-FFF2-40B4-BE49-F238E27FC236}">
              <a16:creationId xmlns:a16="http://schemas.microsoft.com/office/drawing/2014/main" id="{00000000-0008-0000-1A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16</xdr:col>
      <xdr:colOff>-380520</xdr:colOff>
      <xdr:row>16</xdr:row>
      <xdr:rowOff>2880</xdr:rowOff>
    </xdr:to>
    <xdr:graphicFrame macro="">
      <xdr:nvGraphicFramePr>
        <xdr:cNvPr id="24" name="Chart 1">
          <a:extLst>
            <a:ext uri="{FF2B5EF4-FFF2-40B4-BE49-F238E27FC236}">
              <a16:creationId xmlns:a16="http://schemas.microsoft.com/office/drawing/2014/main" id="{00000000-0008-0000-1B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-613440</xdr:colOff>
      <xdr:row>18</xdr:row>
      <xdr:rowOff>0</xdr:rowOff>
    </xdr:from>
    <xdr:to>
      <xdr:col>16</xdr:col>
      <xdr:colOff>-380520</xdr:colOff>
      <xdr:row>31</xdr:row>
      <xdr:rowOff>155160</xdr:rowOff>
    </xdr:to>
    <xdr:graphicFrame macro="">
      <xdr:nvGraphicFramePr>
        <xdr:cNvPr id="25" name="Chart 2">
          <a:extLst>
            <a:ext uri="{FF2B5EF4-FFF2-40B4-BE49-F238E27FC236}">
              <a16:creationId xmlns:a16="http://schemas.microsoft.com/office/drawing/2014/main" id="{00000000-0008-0000-1B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14</xdr:row>
      <xdr:rowOff>126720</xdr:rowOff>
    </xdr:to>
    <xdr:graphicFrame macro="">
      <xdr:nvGraphicFramePr>
        <xdr:cNvPr id="26" name="Chart 1">
          <a:extLst>
            <a:ext uri="{FF2B5EF4-FFF2-40B4-BE49-F238E27FC236}">
              <a16:creationId xmlns:a16="http://schemas.microsoft.com/office/drawing/2014/main" id="{00000000-0008-0000-1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16</xdr:col>
      <xdr:colOff>-380520</xdr:colOff>
      <xdr:row>16</xdr:row>
      <xdr:rowOff>2880</xdr:rowOff>
    </xdr:to>
    <xdr:graphicFrame macro="">
      <xdr:nvGraphicFramePr>
        <xdr:cNvPr id="27" name="Chart 1">
          <a:extLst>
            <a:ext uri="{FF2B5EF4-FFF2-40B4-BE49-F238E27FC236}">
              <a16:creationId xmlns:a16="http://schemas.microsoft.com/office/drawing/2014/main" id="{00000000-0008-0000-1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-613440</xdr:colOff>
      <xdr:row>18</xdr:row>
      <xdr:rowOff>0</xdr:rowOff>
    </xdr:from>
    <xdr:to>
      <xdr:col>16</xdr:col>
      <xdr:colOff>-380520</xdr:colOff>
      <xdr:row>22</xdr:row>
      <xdr:rowOff>1041120</xdr:rowOff>
    </xdr:to>
    <xdr:graphicFrame macro="">
      <xdr:nvGraphicFramePr>
        <xdr:cNvPr id="28" name="Chart 2">
          <a:extLst>
            <a:ext uri="{FF2B5EF4-FFF2-40B4-BE49-F238E27FC236}">
              <a16:creationId xmlns:a16="http://schemas.microsoft.com/office/drawing/2014/main" id="{00000000-0008-0000-1D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-20880</xdr:colOff>
      <xdr:row>16</xdr:row>
      <xdr:rowOff>124920</xdr:rowOff>
    </xdr:to>
    <xdr:graphicFrame macro="">
      <xdr:nvGraphicFramePr>
        <xdr:cNvPr id="29" name="Chart 1">
          <a:extLst>
            <a:ext uri="{FF2B5EF4-FFF2-40B4-BE49-F238E27FC236}">
              <a16:creationId xmlns:a16="http://schemas.microsoft.com/office/drawing/2014/main" id="{00000000-0008-0000-1E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98280</xdr:rowOff>
    </xdr:to>
    <xdr:graphicFrame macro="">
      <xdr:nvGraphicFramePr>
        <xdr:cNvPr id="30" name="Chart 1">
          <a:extLst>
            <a:ext uri="{FF2B5EF4-FFF2-40B4-BE49-F238E27FC236}">
              <a16:creationId xmlns:a16="http://schemas.microsoft.com/office/drawing/2014/main" id="{00000000-0008-0000-1F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98280</xdr:rowOff>
    </xdr:to>
    <xdr:graphicFrame macro="">
      <xdr:nvGraphicFramePr>
        <xdr:cNvPr id="31" name="Chart 1">
          <a:extLst>
            <a:ext uri="{FF2B5EF4-FFF2-40B4-BE49-F238E27FC236}">
              <a16:creationId xmlns:a16="http://schemas.microsoft.com/office/drawing/2014/main" id="{00000000-0008-0000-20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-380880</xdr:colOff>
      <xdr:row>15</xdr:row>
      <xdr:rowOff>98280</xdr:rowOff>
    </xdr:to>
    <xdr:graphicFrame macro="">
      <xdr:nvGraphicFramePr>
        <xdr:cNvPr id="32" name="Chart 1">
          <a:extLst>
            <a:ext uri="{FF2B5EF4-FFF2-40B4-BE49-F238E27FC236}">
              <a16:creationId xmlns:a16="http://schemas.microsoft.com/office/drawing/2014/main" id="{00000000-0008-0000-21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-20880</xdr:colOff>
      <xdr:row>17</xdr:row>
      <xdr:rowOff>77040</xdr:rowOff>
    </xdr:to>
    <xdr:graphicFrame macro="">
      <xdr:nvGraphicFramePr>
        <xdr:cNvPr id="33" name="Chart 1">
          <a:extLst>
            <a:ext uri="{FF2B5EF4-FFF2-40B4-BE49-F238E27FC236}">
              <a16:creationId xmlns:a16="http://schemas.microsoft.com/office/drawing/2014/main" id="{00000000-0008-0000-22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16</xdr:col>
      <xdr:colOff>-380520</xdr:colOff>
      <xdr:row>16</xdr:row>
      <xdr:rowOff>12240</xdr:rowOff>
    </xdr:to>
    <xdr:graphicFrame macro="">
      <xdr:nvGraphicFramePr>
        <xdr:cNvPr id="34" name="Chart 1">
          <a:extLst>
            <a:ext uri="{FF2B5EF4-FFF2-40B4-BE49-F238E27FC236}">
              <a16:creationId xmlns:a16="http://schemas.microsoft.com/office/drawing/2014/main" id="{00000000-0008-0000-23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17</xdr:col>
      <xdr:colOff>232920</xdr:colOff>
      <xdr:row>16</xdr:row>
      <xdr:rowOff>21600</xdr:rowOff>
    </xdr:to>
    <xdr:graphicFrame macro="">
      <xdr:nvGraphicFramePr>
        <xdr:cNvPr id="35" name="Chart 1">
          <a:extLst>
            <a:ext uri="{FF2B5EF4-FFF2-40B4-BE49-F238E27FC236}">
              <a16:creationId xmlns:a16="http://schemas.microsoft.com/office/drawing/2014/main" id="{00000000-0008-0000-24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17</xdr:col>
      <xdr:colOff>232920</xdr:colOff>
      <xdr:row>16</xdr:row>
      <xdr:rowOff>21600</xdr:rowOff>
    </xdr:to>
    <xdr:graphicFrame macro="">
      <xdr:nvGraphicFramePr>
        <xdr:cNvPr id="36" name="Chart 1">
          <a:extLst>
            <a:ext uri="{FF2B5EF4-FFF2-40B4-BE49-F238E27FC236}">
              <a16:creationId xmlns:a16="http://schemas.microsoft.com/office/drawing/2014/main" id="{00000000-0008-0000-25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17</xdr:col>
      <xdr:colOff>232920</xdr:colOff>
      <xdr:row>16</xdr:row>
      <xdr:rowOff>21600</xdr:rowOff>
    </xdr:to>
    <xdr:graphicFrame macro="">
      <xdr:nvGraphicFramePr>
        <xdr:cNvPr id="37" name="Chart 1">
          <a:extLst>
            <a:ext uri="{FF2B5EF4-FFF2-40B4-BE49-F238E27FC236}">
              <a16:creationId xmlns:a16="http://schemas.microsoft.com/office/drawing/2014/main" id="{00000000-0008-0000-26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15</xdr:col>
      <xdr:colOff>-106560</xdr:colOff>
      <xdr:row>16</xdr:row>
      <xdr:rowOff>21600</xdr:rowOff>
    </xdr:to>
    <xdr:graphicFrame macro="">
      <xdr:nvGraphicFramePr>
        <xdr:cNvPr id="38" name="Chart 1">
          <a:extLst>
            <a:ext uri="{FF2B5EF4-FFF2-40B4-BE49-F238E27FC236}">
              <a16:creationId xmlns:a16="http://schemas.microsoft.com/office/drawing/2014/main" id="{00000000-0008-0000-27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editAs="oneCell">
    <xdr:from>
      <xdr:col>7</xdr:col>
      <xdr:colOff>-613440</xdr:colOff>
      <xdr:row>1</xdr:row>
      <xdr:rowOff>0</xdr:rowOff>
    </xdr:from>
    <xdr:to>
      <xdr:col>15</xdr:col>
      <xdr:colOff>-466560</xdr:colOff>
      <xdr:row>14</xdr:row>
      <xdr:rowOff>42840</xdr:rowOff>
    </xdr:to>
    <xdr:graphicFrame macro="">
      <xdr:nvGraphicFramePr>
        <xdr:cNvPr id="39" name="Chart 1">
          <a:extLst>
            <a:ext uri="{FF2B5EF4-FFF2-40B4-BE49-F238E27FC236}">
              <a16:creationId xmlns:a16="http://schemas.microsoft.com/office/drawing/2014/main" id="{00000000-0008-0000-2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16</xdr:col>
      <xdr:colOff>-357840</xdr:colOff>
      <xdr:row>16</xdr:row>
      <xdr:rowOff>21600</xdr:rowOff>
    </xdr:to>
    <xdr:graphicFrame macro="">
      <xdr:nvGraphicFramePr>
        <xdr:cNvPr id="40" name="Chart 1">
          <a:extLst>
            <a:ext uri="{FF2B5EF4-FFF2-40B4-BE49-F238E27FC236}">
              <a16:creationId xmlns:a16="http://schemas.microsoft.com/office/drawing/2014/main" id="{00000000-0008-0000-29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editAs="oneCell">
    <xdr:from>
      <xdr:col>7</xdr:col>
      <xdr:colOff>-613800</xdr:colOff>
      <xdr:row>1</xdr:row>
      <xdr:rowOff>0</xdr:rowOff>
    </xdr:from>
    <xdr:to>
      <xdr:col>14</xdr:col>
      <xdr:colOff>-214920</xdr:colOff>
      <xdr:row>18</xdr:row>
      <xdr:rowOff>720</xdr:rowOff>
    </xdr:to>
    <xdr:graphicFrame macro="">
      <xdr:nvGraphicFramePr>
        <xdr:cNvPr id="41" name="Chart 1">
          <a:extLst>
            <a:ext uri="{FF2B5EF4-FFF2-40B4-BE49-F238E27FC236}">
              <a16:creationId xmlns:a16="http://schemas.microsoft.com/office/drawing/2014/main" id="{00000000-0008-0000-2A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data_final6.xlsx" TargetMode="External"/><Relationship Id="rId18" Type="http://schemas.openxmlformats.org/officeDocument/2006/relationships/hyperlink" Target="../data_final6.xlsx" TargetMode="External"/><Relationship Id="rId26" Type="http://schemas.openxmlformats.org/officeDocument/2006/relationships/hyperlink" Target="../data_final6.xlsx" TargetMode="External"/><Relationship Id="rId3" Type="http://schemas.openxmlformats.org/officeDocument/2006/relationships/hyperlink" Target="../data_final6.xlsx" TargetMode="External"/><Relationship Id="rId21" Type="http://schemas.openxmlformats.org/officeDocument/2006/relationships/hyperlink" Target="../data_final6.xlsx" TargetMode="External"/><Relationship Id="rId34" Type="http://schemas.openxmlformats.org/officeDocument/2006/relationships/hyperlink" Target="../data_final6.xlsx" TargetMode="External"/><Relationship Id="rId7" Type="http://schemas.openxmlformats.org/officeDocument/2006/relationships/hyperlink" Target="../data_final6.xlsx" TargetMode="External"/><Relationship Id="rId12" Type="http://schemas.openxmlformats.org/officeDocument/2006/relationships/hyperlink" Target="../data_final6.xlsx" TargetMode="External"/><Relationship Id="rId17" Type="http://schemas.openxmlformats.org/officeDocument/2006/relationships/hyperlink" Target="../data_final6.xlsx" TargetMode="External"/><Relationship Id="rId25" Type="http://schemas.openxmlformats.org/officeDocument/2006/relationships/hyperlink" Target="../data_final6.xlsx" TargetMode="External"/><Relationship Id="rId33" Type="http://schemas.openxmlformats.org/officeDocument/2006/relationships/hyperlink" Target="../data_final6.xlsx" TargetMode="External"/><Relationship Id="rId2" Type="http://schemas.openxmlformats.org/officeDocument/2006/relationships/hyperlink" Target="../data_final6.xlsx" TargetMode="External"/><Relationship Id="rId16" Type="http://schemas.openxmlformats.org/officeDocument/2006/relationships/hyperlink" Target="../data_final6.xlsx" TargetMode="External"/><Relationship Id="rId20" Type="http://schemas.openxmlformats.org/officeDocument/2006/relationships/hyperlink" Target="../data_final6.xlsx" TargetMode="External"/><Relationship Id="rId29" Type="http://schemas.openxmlformats.org/officeDocument/2006/relationships/hyperlink" Target="../data_final6.xlsx" TargetMode="External"/><Relationship Id="rId1" Type="http://schemas.openxmlformats.org/officeDocument/2006/relationships/hyperlink" Target="../data_final6.xlsx" TargetMode="External"/><Relationship Id="rId6" Type="http://schemas.openxmlformats.org/officeDocument/2006/relationships/hyperlink" Target="../data_final6.xlsx" TargetMode="External"/><Relationship Id="rId11" Type="http://schemas.openxmlformats.org/officeDocument/2006/relationships/hyperlink" Target="../data_final6.xlsx" TargetMode="External"/><Relationship Id="rId24" Type="http://schemas.openxmlformats.org/officeDocument/2006/relationships/hyperlink" Target="../data_final6.xlsx" TargetMode="External"/><Relationship Id="rId32" Type="http://schemas.openxmlformats.org/officeDocument/2006/relationships/hyperlink" Target="../data_final6.xlsx" TargetMode="External"/><Relationship Id="rId5" Type="http://schemas.openxmlformats.org/officeDocument/2006/relationships/hyperlink" Target="../data_final6.xlsx" TargetMode="External"/><Relationship Id="rId15" Type="http://schemas.openxmlformats.org/officeDocument/2006/relationships/hyperlink" Target="../data_final6.xlsx" TargetMode="External"/><Relationship Id="rId23" Type="http://schemas.openxmlformats.org/officeDocument/2006/relationships/hyperlink" Target="../data_final6.xlsx" TargetMode="External"/><Relationship Id="rId28" Type="http://schemas.openxmlformats.org/officeDocument/2006/relationships/hyperlink" Target="../data_final6.xlsx" TargetMode="External"/><Relationship Id="rId36" Type="http://schemas.openxmlformats.org/officeDocument/2006/relationships/hyperlink" Target="../data_final6.xlsx" TargetMode="External"/><Relationship Id="rId10" Type="http://schemas.openxmlformats.org/officeDocument/2006/relationships/hyperlink" Target="../data_final6.xlsx" TargetMode="External"/><Relationship Id="rId19" Type="http://schemas.openxmlformats.org/officeDocument/2006/relationships/hyperlink" Target="../data_final6.xlsx" TargetMode="External"/><Relationship Id="rId31" Type="http://schemas.openxmlformats.org/officeDocument/2006/relationships/hyperlink" Target="../data_final6.xlsx" TargetMode="External"/><Relationship Id="rId4" Type="http://schemas.openxmlformats.org/officeDocument/2006/relationships/hyperlink" Target="../data_final6.xlsx" TargetMode="External"/><Relationship Id="rId9" Type="http://schemas.openxmlformats.org/officeDocument/2006/relationships/hyperlink" Target="../data_final6.xlsx" TargetMode="External"/><Relationship Id="rId14" Type="http://schemas.openxmlformats.org/officeDocument/2006/relationships/hyperlink" Target="../data_final6.xlsx" TargetMode="External"/><Relationship Id="rId22" Type="http://schemas.openxmlformats.org/officeDocument/2006/relationships/hyperlink" Target="../data_final6.xlsx" TargetMode="External"/><Relationship Id="rId27" Type="http://schemas.openxmlformats.org/officeDocument/2006/relationships/hyperlink" Target="../data_final6.xlsx" TargetMode="External"/><Relationship Id="rId30" Type="http://schemas.openxmlformats.org/officeDocument/2006/relationships/hyperlink" Target="../data_final6.xlsx" TargetMode="External"/><Relationship Id="rId35" Type="http://schemas.openxmlformats.org/officeDocument/2006/relationships/hyperlink" Target="../data_final6.xlsx" TargetMode="External"/><Relationship Id="rId8" Type="http://schemas.openxmlformats.org/officeDocument/2006/relationships/hyperlink" Target="../data_final6.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data_final6.xls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data_final6.xlsx"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data_final6.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data_final6.xls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data_final6.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data_final6.xlsx"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data_final6.xlsx"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hyperlink" Target="../data_final6.xlsx" TargetMode="Externa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hyperlink" Target="../data_final6.xlsx" TargetMode="Externa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hyperlink" Target="../data_final6.xlsx" TargetMode="External"/><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hyperlink" Target="../data_final6.xls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data_final6.xlsx"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data_final6.xlsx"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data_final6.xlsx" TargetMode="Externa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hyperlink" Target="../data_final6.xlsx" TargetMode="External"/><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data_final6.xls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data_final6.xlsx"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data_final6.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data_final6.xlsx"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data_final6.xlsx"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data_final6.xlsx"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data_final6.xlsx"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data_final6.xlsx"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data_final6.xlsx"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data_final6.xlsx"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data_final6.xlsx"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data_final6.xlsx" TargetMode="Externa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hyperlink" Target="../data_final6.xlsx"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data_final6.xlsx"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data_final6.xlsx"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hyperlink" Target="../data_final6.xlsx"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hyperlink" Target="../data_final6.xlsx"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hyperlink" Target="../data_final6.xlsx"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hyperlink" Target="../data_final6.xlsx"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data_final6.xlsx"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hyperlink" Target="../data_final6.xlsx"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rightToLeft="1" tabSelected="1" zoomScaleNormal="100" workbookViewId="0">
      <pane ySplit="4" topLeftCell="A5" activePane="bottomLeft" state="frozen"/>
      <selection pane="bottomLeft" activeCell="B71" sqref="B71"/>
    </sheetView>
  </sheetViews>
  <sheetFormatPr defaultColWidth="8.7109375" defaultRowHeight="15"/>
  <cols>
    <col min="1" max="1" width="5" customWidth="1"/>
    <col min="2" max="2" width="55" customWidth="1"/>
    <col min="3" max="3" width="30" customWidth="1"/>
  </cols>
  <sheetData>
    <row r="1" spans="1:6" ht="18" customHeight="1">
      <c r="A1" s="68" t="s">
        <v>0</v>
      </c>
      <c r="B1" s="68"/>
      <c r="C1" s="68"/>
      <c r="D1" s="68"/>
      <c r="E1" s="68"/>
      <c r="F1" s="68"/>
    </row>
    <row r="2" spans="1:6" ht="15" customHeight="1">
      <c r="A2" s="65" t="s">
        <v>1</v>
      </c>
      <c r="B2" s="65"/>
      <c r="C2" s="65"/>
      <c r="D2" s="65"/>
      <c r="E2" s="65"/>
      <c r="F2" s="65"/>
    </row>
    <row r="4" spans="1:6" ht="15.75" customHeight="1">
      <c r="A4" s="2" t="s">
        <v>2</v>
      </c>
      <c r="B4" s="2" t="s">
        <v>3</v>
      </c>
      <c r="C4" s="2" t="s">
        <v>4</v>
      </c>
    </row>
    <row r="5" spans="1:6" ht="15" customHeight="1">
      <c r="A5" s="3">
        <v>1</v>
      </c>
      <c r="B5" s="4" t="s">
        <v>5</v>
      </c>
      <c r="C5" s="5" t="s">
        <v>6</v>
      </c>
    </row>
    <row r="6" spans="1:6" ht="15" customHeight="1">
      <c r="A6" s="3">
        <v>2</v>
      </c>
      <c r="B6" s="4" t="s">
        <v>7</v>
      </c>
      <c r="C6" s="5" t="s">
        <v>6</v>
      </c>
    </row>
    <row r="7" spans="1:6" ht="15" customHeight="1">
      <c r="A7" s="3">
        <v>3</v>
      </c>
      <c r="B7" s="4" t="s">
        <v>8</v>
      </c>
      <c r="C7" s="6" t="s">
        <v>9</v>
      </c>
    </row>
    <row r="8" spans="1:6" ht="15" customHeight="1">
      <c r="A8" s="3">
        <v>4</v>
      </c>
      <c r="B8" s="4" t="s">
        <v>10</v>
      </c>
      <c r="C8" s="6" t="s">
        <v>9</v>
      </c>
    </row>
    <row r="9" spans="1:6" ht="15" customHeight="1">
      <c r="A9" s="3">
        <v>5</v>
      </c>
      <c r="B9" s="4" t="s">
        <v>11</v>
      </c>
      <c r="C9" s="6" t="s">
        <v>9</v>
      </c>
    </row>
    <row r="10" spans="1:6" ht="15" customHeight="1">
      <c r="A10" s="3">
        <v>6</v>
      </c>
      <c r="B10" s="4" t="s">
        <v>12</v>
      </c>
      <c r="C10" s="7" t="s">
        <v>13</v>
      </c>
    </row>
    <row r="11" spans="1:6" ht="15" customHeight="1">
      <c r="A11" s="3">
        <v>7</v>
      </c>
      <c r="B11" s="4" t="s">
        <v>14</v>
      </c>
      <c r="C11" s="5" t="s">
        <v>15</v>
      </c>
    </row>
    <row r="12" spans="1:6" ht="15" customHeight="1">
      <c r="A12" s="3">
        <v>8</v>
      </c>
      <c r="B12" s="4" t="s">
        <v>16</v>
      </c>
      <c r="C12" s="5" t="s">
        <v>17</v>
      </c>
    </row>
    <row r="13" spans="1:6" ht="15" customHeight="1">
      <c r="A13" s="3">
        <v>9</v>
      </c>
      <c r="B13" s="4" t="s">
        <v>18</v>
      </c>
      <c r="C13" s="5" t="s">
        <v>19</v>
      </c>
    </row>
    <row r="14" spans="1:6" ht="15" customHeight="1">
      <c r="A14" s="3">
        <v>10</v>
      </c>
      <c r="B14" s="4" t="s">
        <v>20</v>
      </c>
      <c r="C14" s="5" t="s">
        <v>19</v>
      </c>
    </row>
    <row r="15" spans="1:6" ht="15" customHeight="1">
      <c r="A15" s="3">
        <v>11</v>
      </c>
      <c r="B15" s="4" t="s">
        <v>21</v>
      </c>
      <c r="C15" s="8" t="s">
        <v>22</v>
      </c>
    </row>
    <row r="16" spans="1:6" ht="15" customHeight="1">
      <c r="A16" s="3">
        <v>12</v>
      </c>
      <c r="B16" s="4" t="s">
        <v>23</v>
      </c>
      <c r="C16" s="8" t="s">
        <v>24</v>
      </c>
    </row>
    <row r="17" spans="1:3" ht="15" customHeight="1">
      <c r="A17" s="3">
        <v>13</v>
      </c>
      <c r="B17" s="4" t="s">
        <v>25</v>
      </c>
      <c r="C17" s="8" t="s">
        <v>26</v>
      </c>
    </row>
    <row r="18" spans="1:3" ht="30" customHeight="1">
      <c r="A18" s="3">
        <v>14</v>
      </c>
      <c r="B18" s="4" t="s">
        <v>27</v>
      </c>
      <c r="C18" s="8" t="s">
        <v>28</v>
      </c>
    </row>
    <row r="19" spans="1:3" ht="26.25" customHeight="1">
      <c r="A19" s="3">
        <v>15</v>
      </c>
      <c r="B19" s="4" t="s">
        <v>29</v>
      </c>
      <c r="C19" s="5" t="s">
        <v>30</v>
      </c>
    </row>
    <row r="20" spans="1:3" ht="26.25" customHeight="1">
      <c r="A20" s="3">
        <v>16</v>
      </c>
      <c r="B20" s="4" t="s">
        <v>31</v>
      </c>
      <c r="C20" s="5" t="s">
        <v>30</v>
      </c>
    </row>
    <row r="21" spans="1:3" ht="26.25" customHeight="1">
      <c r="A21" s="3">
        <v>17</v>
      </c>
      <c r="B21" s="4" t="s">
        <v>32</v>
      </c>
      <c r="C21" s="5" t="s">
        <v>521</v>
      </c>
    </row>
    <row r="22" spans="1:3" ht="15" customHeight="1">
      <c r="A22" s="3">
        <v>18</v>
      </c>
      <c r="B22" s="4" t="s">
        <v>33</v>
      </c>
      <c r="C22" s="5" t="s">
        <v>6</v>
      </c>
    </row>
    <row r="23" spans="1:3" ht="15" customHeight="1">
      <c r="A23" s="3">
        <v>19</v>
      </c>
      <c r="B23" s="4" t="s">
        <v>34</v>
      </c>
      <c r="C23" s="5" t="s">
        <v>6</v>
      </c>
    </row>
    <row r="25" spans="1:3" ht="15" customHeight="1">
      <c r="A25" s="69" t="s">
        <v>35</v>
      </c>
      <c r="B25" s="69"/>
      <c r="C25" s="69"/>
    </row>
    <row r="26" spans="1:3" ht="15.75" customHeight="1">
      <c r="A26" s="2" t="s">
        <v>2</v>
      </c>
      <c r="B26" s="2" t="s">
        <v>3</v>
      </c>
      <c r="C26" s="2" t="s">
        <v>36</v>
      </c>
    </row>
    <row r="27" spans="1:3" ht="15" customHeight="1">
      <c r="A27" s="3">
        <v>20</v>
      </c>
      <c r="B27" s="4" t="s">
        <v>37</v>
      </c>
      <c r="C27" s="6" t="s">
        <v>9</v>
      </c>
    </row>
    <row r="28" spans="1:3" ht="45" customHeight="1">
      <c r="A28" s="3">
        <v>21</v>
      </c>
      <c r="B28" s="4" t="s">
        <v>38</v>
      </c>
      <c r="C28" s="7" t="s">
        <v>39</v>
      </c>
    </row>
    <row r="29" spans="1:3" ht="15" customHeight="1">
      <c r="A29" s="3">
        <v>22</v>
      </c>
      <c r="B29" s="4" t="s">
        <v>40</v>
      </c>
      <c r="C29" s="7" t="s">
        <v>41</v>
      </c>
    </row>
    <row r="30" spans="1:3" ht="15" customHeight="1">
      <c r="A30" s="3">
        <v>23</v>
      </c>
      <c r="B30" s="4" t="s">
        <v>42</v>
      </c>
      <c r="C30" s="6" t="s">
        <v>9</v>
      </c>
    </row>
    <row r="31" spans="1:3" ht="15" customHeight="1">
      <c r="A31" s="3">
        <v>24</v>
      </c>
      <c r="B31" s="4" t="s">
        <v>43</v>
      </c>
      <c r="C31" s="7" t="s">
        <v>44</v>
      </c>
    </row>
    <row r="32" spans="1:3" ht="30" customHeight="1">
      <c r="A32" s="3">
        <v>25</v>
      </c>
      <c r="B32" s="4" t="s">
        <v>45</v>
      </c>
      <c r="C32" s="9" t="s">
        <v>46</v>
      </c>
    </row>
    <row r="33" spans="1:6" ht="30" customHeight="1">
      <c r="A33" s="3">
        <v>26</v>
      </c>
      <c r="B33" s="4" t="s">
        <v>47</v>
      </c>
      <c r="C33" s="6" t="s">
        <v>48</v>
      </c>
    </row>
    <row r="34" spans="1:6" ht="15" customHeight="1">
      <c r="A34">
        <v>27</v>
      </c>
      <c r="B34" s="10" t="s">
        <v>49</v>
      </c>
      <c r="C34" s="11" t="s">
        <v>50</v>
      </c>
    </row>
    <row r="35" spans="1:6" ht="39" customHeight="1">
      <c r="A35" s="12">
        <v>28</v>
      </c>
      <c r="B35" s="13" t="s">
        <v>51</v>
      </c>
      <c r="C35" s="14" t="s">
        <v>52</v>
      </c>
    </row>
    <row r="36" spans="1:6" ht="26.25" customHeight="1">
      <c r="A36" s="12">
        <v>29</v>
      </c>
      <c r="B36" s="13" t="s">
        <v>53</v>
      </c>
      <c r="C36" s="14" t="s">
        <v>54</v>
      </c>
    </row>
    <row r="37" spans="1:6" ht="26.25" customHeight="1">
      <c r="A37" s="12">
        <v>30</v>
      </c>
      <c r="B37" s="13" t="s">
        <v>55</v>
      </c>
      <c r="C37" s="14" t="s">
        <v>54</v>
      </c>
    </row>
    <row r="38" spans="1:6" ht="15" customHeight="1">
      <c r="A38" s="12">
        <v>31</v>
      </c>
      <c r="B38" s="13" t="s">
        <v>56</v>
      </c>
      <c r="C38" s="14" t="s">
        <v>57</v>
      </c>
    </row>
    <row r="39" spans="1:6" ht="15" customHeight="1">
      <c r="A39" s="12">
        <v>32</v>
      </c>
      <c r="B39" s="13" t="s">
        <v>58</v>
      </c>
      <c r="C39" s="14" t="s">
        <v>57</v>
      </c>
    </row>
    <row r="40" spans="1:6" ht="26.25" customHeight="1">
      <c r="A40" s="12">
        <v>33</v>
      </c>
      <c r="B40" s="13" t="s">
        <v>59</v>
      </c>
      <c r="C40" s="14" t="s">
        <v>54</v>
      </c>
    </row>
    <row r="42" spans="1:6" ht="34.5" customHeight="1">
      <c r="A42" s="70" t="s">
        <v>60</v>
      </c>
      <c r="B42" s="70"/>
      <c r="C42" s="70"/>
      <c r="D42" s="70"/>
      <c r="E42" s="70"/>
      <c r="F42" s="70"/>
    </row>
    <row r="43" spans="1:6" ht="15" customHeight="1">
      <c r="A43">
        <v>34</v>
      </c>
      <c r="B43" s="10" t="s">
        <v>61</v>
      </c>
      <c r="C43" s="11" t="s">
        <v>62</v>
      </c>
    </row>
    <row r="44" spans="1:6" ht="15" customHeight="1">
      <c r="A44" s="15">
        <v>37</v>
      </c>
      <c r="B44" s="16" t="s">
        <v>63</v>
      </c>
      <c r="C44" s="17" t="s">
        <v>57</v>
      </c>
    </row>
    <row r="45" spans="1:6" ht="15" customHeight="1">
      <c r="A45" s="15">
        <v>38</v>
      </c>
      <c r="B45" s="16" t="s">
        <v>64</v>
      </c>
      <c r="C45" s="17" t="s">
        <v>57</v>
      </c>
    </row>
    <row r="46" spans="1:6" ht="15" customHeight="1">
      <c r="A46" s="15">
        <v>39</v>
      </c>
      <c r="B46" s="17" t="s">
        <v>65</v>
      </c>
      <c r="C46" s="17" t="s">
        <v>57</v>
      </c>
    </row>
    <row r="47" spans="1:6" ht="15" customHeight="1">
      <c r="A47" s="15">
        <v>40</v>
      </c>
      <c r="B47" s="17" t="s">
        <v>66</v>
      </c>
      <c r="C47" s="17" t="s">
        <v>57</v>
      </c>
    </row>
    <row r="48" spans="1:6" ht="15" customHeight="1">
      <c r="A48" s="15">
        <v>41</v>
      </c>
      <c r="B48" s="17" t="s">
        <v>67</v>
      </c>
      <c r="C48" s="17" t="s">
        <v>68</v>
      </c>
    </row>
    <row r="50" spans="1:6" ht="15.75">
      <c r="A50" s="18" t="s">
        <v>69</v>
      </c>
    </row>
    <row r="51" spans="1:6">
      <c r="A51" s="19">
        <v>42</v>
      </c>
      <c r="B51" s="19" t="s">
        <v>70</v>
      </c>
      <c r="C51" s="19" t="s">
        <v>71</v>
      </c>
    </row>
    <row r="53" spans="1:6">
      <c r="A53" s="19">
        <v>43</v>
      </c>
      <c r="B53" s="19" t="s">
        <v>72</v>
      </c>
      <c r="C53" s="19" t="s">
        <v>73</v>
      </c>
    </row>
    <row r="55" spans="1:6">
      <c r="A55" s="19">
        <v>44</v>
      </c>
      <c r="B55" s="19" t="s">
        <v>74</v>
      </c>
      <c r="C55" s="19" t="s">
        <v>75</v>
      </c>
    </row>
    <row r="57" spans="1:6">
      <c r="A57" s="19">
        <v>45</v>
      </c>
      <c r="B57" s="19" t="s">
        <v>76</v>
      </c>
      <c r="C57" s="19" t="s">
        <v>77</v>
      </c>
    </row>
    <row r="59" spans="1:6">
      <c r="A59" s="19">
        <v>46</v>
      </c>
      <c r="B59" s="19" t="s">
        <v>78</v>
      </c>
      <c r="C59" s="19" t="s">
        <v>79</v>
      </c>
    </row>
    <row r="62" spans="1:6" ht="15.75">
      <c r="A62" s="20" t="s">
        <v>80</v>
      </c>
    </row>
    <row r="63" spans="1:6" ht="27.75" customHeight="1">
      <c r="A63" s="67" t="s">
        <v>81</v>
      </c>
      <c r="B63" s="67"/>
      <c r="C63" s="67"/>
      <c r="D63" s="67"/>
      <c r="E63" s="67"/>
      <c r="F63" s="67"/>
    </row>
    <row r="64" spans="1:6" ht="27.75" customHeight="1">
      <c r="A64" s="67" t="s">
        <v>82</v>
      </c>
      <c r="B64" s="67"/>
      <c r="C64" s="67"/>
      <c r="D64" s="67"/>
      <c r="E64" s="67"/>
      <c r="F64" s="67"/>
    </row>
    <row r="65" spans="1:6" ht="27.75" customHeight="1">
      <c r="A65" s="67" t="s">
        <v>83</v>
      </c>
      <c r="B65" s="67"/>
      <c r="C65" s="67"/>
      <c r="D65" s="67"/>
      <c r="E65" s="67"/>
      <c r="F65" s="67"/>
    </row>
    <row r="66" spans="1:6" ht="27.75" customHeight="1">
      <c r="A66" s="67" t="s">
        <v>84</v>
      </c>
      <c r="B66" s="67"/>
      <c r="C66" s="67"/>
      <c r="D66" s="67"/>
      <c r="E66" s="67"/>
      <c r="F66" s="67"/>
    </row>
    <row r="67" spans="1:6" ht="27.75" customHeight="1">
      <c r="A67" s="67"/>
      <c r="B67" s="67"/>
      <c r="C67" s="67"/>
      <c r="D67" s="67"/>
      <c r="E67" s="67"/>
      <c r="F67" s="67"/>
    </row>
  </sheetData>
  <mergeCells count="9">
    <mergeCell ref="A64:F64"/>
    <mergeCell ref="A65:F65"/>
    <mergeCell ref="A66:F66"/>
    <mergeCell ref="A67:F67"/>
    <mergeCell ref="A1:F1"/>
    <mergeCell ref="A2:F2"/>
    <mergeCell ref="A25:C25"/>
    <mergeCell ref="A42:F42"/>
    <mergeCell ref="A63:F63"/>
  </mergeCells>
  <hyperlinks>
    <hyperlink ref="B5" r:id="rId1" location="'1-التشريعات'!A1" xr:uid="{00000000-0004-0000-0000-000000000000}"/>
    <hyperlink ref="B6" r:id="rId2" location="'2-جودة%20التشريعات'!A1" xr:uid="{00000000-0004-0000-0000-000001000000}"/>
    <hyperlink ref="B7" r:id="rId3" location="'3-المحالة%20حسب%20القطاع%20والجرم'!A1" xr:uid="{00000000-0004-0000-0000-000002000000}"/>
    <hyperlink ref="B8" r:id="rId4" location="'4-الملفات%20التحقيقية%20الواردة'!A1" xr:uid="{00000000-0004-0000-0000-000003000000}"/>
    <hyperlink ref="B9" r:id="rId5" location="'5-الملفات%20المنجزة%20(عدد)'!A1" xr:uid="{00000000-0004-0000-0000-000004000000}"/>
    <hyperlink ref="B10" r:id="rId6" location="'6-الواردة%20لنيابة%20جرائم%20الفساد'!A1" xr:uid="{00000000-0004-0000-0000-000005000000}"/>
    <hyperlink ref="B11" r:id="rId7" location="'7-نسبة%20المنجز%20لدى%20النيابة'!A1" xr:uid="{00000000-0004-0000-0000-000006000000}"/>
    <hyperlink ref="B12" r:id="rId8" location="'8-المحالين%20لمحكمة%20الفساد'!A1" xr:uid="{00000000-0004-0000-0000-000007000000}"/>
    <hyperlink ref="B13" r:id="rId9" location="'9-القضايا%20المفصولة%20بحكم'!A1" xr:uid="{00000000-0004-0000-0000-000008000000}"/>
    <hyperlink ref="B14" r:id="rId10" location="'10-المدانين'!A1" xr:uid="{00000000-0004-0000-0000-000009000000}"/>
    <hyperlink ref="B15" r:id="rId11" location="'11-المكلفين%20بالإقرار'!A1" xr:uid="{00000000-0004-0000-0000-00000A000000}"/>
    <hyperlink ref="B16" r:id="rId12" location="'12-الإقرارات%20الموزعة'!A1" xr:uid="{00000000-0004-0000-0000-00000B000000}"/>
    <hyperlink ref="B17" r:id="rId13" location="'13-نسبة%20الإقرارات%20المستوفاة'!A1" xr:uid="{00000000-0004-0000-0000-00000C000000}"/>
    <hyperlink ref="B18" r:id="rId14" location="'14-فض%20الإقرارات%20للفحص'!A1" xr:uid="{00000000-0004-0000-0000-00000D000000}"/>
    <hyperlink ref="B19" r:id="rId15" location="'15-طلبات%20الحماية%20الواردة'!A1" xr:uid="{00000000-0004-0000-0000-00000E000000}"/>
    <hyperlink ref="B20" r:id="rId16" location="'16-طلبات%20التظلم'!A1" xr:uid="{00000000-0004-0000-0000-00000F000000}"/>
    <hyperlink ref="B21" r:id="rId17" location="'17-متابعة%20طلبات%20الحماية'!A1" xr:uid="{00000000-0004-0000-0000-000010000000}"/>
    <hyperlink ref="B22" r:id="rId18" location="'18-انتشار%20الرشوة%20(رأي%20عام)'!A1" xr:uid="{00000000-0004-0000-0000-000011000000}"/>
    <hyperlink ref="B23" r:id="rId19" location="'19-انتشار%20الرشوة%20الفعلي'!A1" xr:uid="{00000000-0004-0000-0000-000012000000}"/>
    <hyperlink ref="B27" r:id="rId20" location="'20-الواردة%20حسب%20القطاع'!A1" xr:uid="{00000000-0004-0000-0000-000013000000}"/>
    <hyperlink ref="B28" r:id="rId21" location="'21-جرائم%20الملفات%20الواردة'!A1" xr:uid="{00000000-0004-0000-0000-000014000000}"/>
    <hyperlink ref="B29" r:id="rId22" location="'22-المحفوظة%20حسب%20قطاع%20وجرم'!A1" xr:uid="{00000000-0004-0000-0000-000015000000}"/>
    <hyperlink ref="B30" r:id="rId23" location="'23-محولة%20للنيابة%20العامة'!A1" xr:uid="{00000000-0004-0000-0000-000016000000}"/>
    <hyperlink ref="B31" r:id="rId24" location="'24-إجراءات%20الضبط%20القضائي'!A1" xr:uid="{00000000-0004-0000-0000-000017000000}"/>
    <hyperlink ref="B32" r:id="rId25" location="'25-نسب%20ومعدلات%20مشتقة'!A1" xr:uid="{00000000-0004-0000-0000-000018000000}"/>
    <hyperlink ref="B33" r:id="rId26" location="'26-منتهية%20(ملف%20مماثل%20بالنيابة)'!A1" xr:uid="{00000000-0004-0000-0000-000019000000}"/>
    <hyperlink ref="B34" r:id="rId27" location="'27-تفصيل%20حسب%20نوع%20القرار'!A1" xr:uid="{00000000-0004-0000-0000-00001A000000}"/>
    <hyperlink ref="B35" r:id="rId28" location="'28-الشكاوى%20حسب%20مصدر%20التقديم'!A1" xr:uid="{00000000-0004-0000-0000-00001B000000}"/>
    <hyperlink ref="B36" r:id="rId29" location="'29-الشكاوى%20حسب%20التكييف%20الأولي'!A1" xr:uid="{00000000-0004-0000-0000-00001C000000}"/>
    <hyperlink ref="B37" r:id="rId30" location="'30-الشكاوى%20حسب%20القطاع'!A1" xr:uid="{00000000-0004-0000-0000-00001D000000}"/>
    <hyperlink ref="B38" r:id="rId31" location="'31-طريقة%20استلام%20الشكوى'!A1" xr:uid="{00000000-0004-0000-0000-00001E000000}"/>
    <hyperlink ref="B39" r:id="rId32" location="'32-الشكاوى%20حسب%20جنس%20المشتكى%20عليه'!A1" xr:uid="{00000000-0004-0000-0000-00001F000000}"/>
    <hyperlink ref="B40" r:id="rId33" location="'33-حسب%20درجة%20المشتكى%20عليه'!A1" xr:uid="{00000000-0004-0000-0000-000020000000}"/>
    <hyperlink ref="B43" r:id="rId34" location="'34-نموذج1%20قضايا%20ومشتبهين'!A1" xr:uid="{00000000-0004-0000-0000-000021000000}"/>
    <hyperlink ref="B44" r:id="rId35" location="'35-نموذج4%20حسب%20نوع%20الجرم%20(محكمة)'!A1" xr:uid="{00000000-0004-0000-0000-000022000000}"/>
    <hyperlink ref="B45" r:id="rId36" location="'36-نموذج3%20حسب%20القطاع%20(مسجلة)'!A1" xr:uid="{00000000-0004-0000-0000-000023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rightToLeft="1" zoomScaleNormal="100" workbookViewId="0">
      <selection activeCell="H1" sqref="H1"/>
    </sheetView>
  </sheetViews>
  <sheetFormatPr defaultColWidth="8.7109375" defaultRowHeight="15"/>
  <cols>
    <col min="1" max="1" width="42" customWidth="1"/>
    <col min="2" max="5" width="14" customWidth="1"/>
  </cols>
  <sheetData>
    <row r="1" spans="1:7" ht="18" customHeight="1">
      <c r="A1" s="64" t="s">
        <v>85</v>
      </c>
      <c r="B1" s="64"/>
      <c r="C1" s="64"/>
      <c r="D1" s="64"/>
      <c r="E1" s="64"/>
      <c r="F1" s="64"/>
      <c r="G1" s="21" t="s">
        <v>86</v>
      </c>
    </row>
    <row r="2" spans="1:7" ht="15" customHeight="1">
      <c r="A2" s="65" t="s">
        <v>87</v>
      </c>
      <c r="B2" s="65"/>
      <c r="C2" s="65"/>
      <c r="D2" s="65"/>
      <c r="E2" s="65"/>
      <c r="F2" s="65"/>
    </row>
    <row r="4" spans="1:7" ht="15.75" customHeight="1">
      <c r="A4" s="2" t="s">
        <v>88</v>
      </c>
      <c r="B4" s="2" t="s">
        <v>89</v>
      </c>
      <c r="C4" s="2" t="s">
        <v>90</v>
      </c>
      <c r="D4" s="2" t="s">
        <v>91</v>
      </c>
      <c r="E4" s="2" t="s">
        <v>92</v>
      </c>
    </row>
    <row r="5" spans="1:7" ht="15" customHeight="1">
      <c r="A5" s="22" t="s">
        <v>93</v>
      </c>
      <c r="B5" s="23">
        <v>1</v>
      </c>
      <c r="C5" s="23">
        <v>1</v>
      </c>
      <c r="D5" s="23">
        <v>0</v>
      </c>
      <c r="E5" s="23">
        <v>0</v>
      </c>
    </row>
    <row r="7" spans="1:7" ht="23.25" customHeight="1">
      <c r="A7" s="65" t="s">
        <v>94</v>
      </c>
      <c r="B7" s="65"/>
      <c r="C7" s="65"/>
      <c r="D7" s="65"/>
      <c r="E7" s="65"/>
    </row>
    <row r="18" spans="9:14" ht="15" customHeight="1">
      <c r="I18" s="66" t="s">
        <v>95</v>
      </c>
      <c r="J18" s="66"/>
      <c r="K18" s="66"/>
      <c r="L18" s="66"/>
      <c r="M18" s="66"/>
      <c r="N18" s="66"/>
    </row>
    <row r="19" spans="9:14">
      <c r="I19" s="66"/>
      <c r="J19" s="66"/>
      <c r="K19" s="66"/>
      <c r="L19" s="66"/>
      <c r="M19" s="66"/>
      <c r="N19" s="66"/>
    </row>
  </sheetData>
  <mergeCells count="4">
    <mergeCell ref="A1:F1"/>
    <mergeCell ref="A2:F2"/>
    <mergeCell ref="A7:E7"/>
    <mergeCell ref="I18:N19"/>
  </mergeCells>
  <hyperlinks>
    <hyperlink ref="G1" r:id="rId1" location="'ملخص%20عام'!A1" xr:uid="{00000000-0004-0000-0100-000000000000}"/>
  </hyperlinks>
  <pageMargins left="0.75" right="0.75" top="1" bottom="1" header="0.511811023622047" footer="0.511811023622047"/>
  <pageSetup paperSize="9" orientation="portrait" horizontalDpi="300" verticalDpi="30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rightToLeft="1" zoomScaleNormal="100" workbookViewId="0">
      <selection sqref="A1:F1"/>
    </sheetView>
  </sheetViews>
  <sheetFormatPr defaultColWidth="8.7109375" defaultRowHeight="15"/>
  <cols>
    <col min="1" max="1" width="42" customWidth="1"/>
    <col min="2" max="5" width="14" customWidth="1"/>
  </cols>
  <sheetData>
    <row r="1" spans="1:14" ht="18" customHeight="1">
      <c r="A1" s="64" t="s">
        <v>96</v>
      </c>
      <c r="B1" s="64"/>
      <c r="C1" s="64"/>
      <c r="D1" s="64"/>
      <c r="E1" s="64"/>
      <c r="F1" s="64"/>
      <c r="G1" s="21" t="s">
        <v>86</v>
      </c>
    </row>
    <row r="2" spans="1:14" ht="15" customHeight="1">
      <c r="A2" s="65" t="s">
        <v>97</v>
      </c>
      <c r="B2" s="65"/>
      <c r="C2" s="65"/>
      <c r="D2" s="65"/>
      <c r="E2" s="65"/>
      <c r="F2" s="65"/>
      <c r="I2" s="71" t="s">
        <v>98</v>
      </c>
      <c r="J2" s="71"/>
      <c r="K2" s="71"/>
      <c r="L2" s="71"/>
      <c r="M2" s="71"/>
      <c r="N2" s="71"/>
    </row>
    <row r="3" spans="1:14">
      <c r="I3" s="71"/>
      <c r="J3" s="71"/>
      <c r="K3" s="71"/>
      <c r="L3" s="71"/>
      <c r="M3" s="71"/>
      <c r="N3" s="71"/>
    </row>
    <row r="4" spans="1:14" ht="15.75" customHeight="1">
      <c r="A4" s="2" t="s">
        <v>88</v>
      </c>
      <c r="B4" s="2" t="s">
        <v>89</v>
      </c>
      <c r="C4" s="2" t="s">
        <v>90</v>
      </c>
      <c r="D4" s="2" t="s">
        <v>91</v>
      </c>
      <c r="E4" s="2" t="s">
        <v>92</v>
      </c>
      <c r="I4" s="71"/>
      <c r="J4" s="71"/>
      <c r="K4" s="71"/>
      <c r="L4" s="71"/>
      <c r="M4" s="71"/>
      <c r="N4" s="71"/>
    </row>
    <row r="5" spans="1:14" ht="15" customHeight="1">
      <c r="A5" s="22" t="s">
        <v>99</v>
      </c>
      <c r="B5" s="23" t="s">
        <v>6</v>
      </c>
      <c r="C5" s="23" t="s">
        <v>6</v>
      </c>
      <c r="D5" s="23" t="s">
        <v>6</v>
      </c>
      <c r="E5" s="23" t="s">
        <v>6</v>
      </c>
    </row>
    <row r="7" spans="1:14" ht="23.25" customHeight="1">
      <c r="A7" s="65" t="s">
        <v>100</v>
      </c>
      <c r="B7" s="65"/>
      <c r="C7" s="65"/>
      <c r="D7" s="65"/>
      <c r="E7" s="65"/>
    </row>
  </sheetData>
  <mergeCells count="4">
    <mergeCell ref="A1:F1"/>
    <mergeCell ref="A2:F2"/>
    <mergeCell ref="I2:N4"/>
    <mergeCell ref="A7:E7"/>
  </mergeCells>
  <hyperlinks>
    <hyperlink ref="G1" r:id="rId1" location="'ملخص%20عام'!A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1"/>
  <sheetViews>
    <sheetView rightToLeft="1" zoomScaleNormal="100" workbookViewId="0">
      <selection activeCell="A41" sqref="A41:E41"/>
    </sheetView>
  </sheetViews>
  <sheetFormatPr defaultColWidth="8.7109375" defaultRowHeight="15"/>
  <cols>
    <col min="1" max="1" width="55" customWidth="1"/>
    <col min="2" max="5" width="14" customWidth="1"/>
  </cols>
  <sheetData>
    <row r="1" spans="1:7" ht="18" customHeight="1">
      <c r="A1" s="64" t="s">
        <v>101</v>
      </c>
      <c r="B1" s="64"/>
      <c r="C1" s="64"/>
      <c r="D1" s="64"/>
      <c r="E1" s="64"/>
      <c r="F1" s="64"/>
      <c r="G1" s="21" t="s">
        <v>86</v>
      </c>
    </row>
    <row r="2" spans="1:7" ht="15" customHeight="1">
      <c r="A2" s="65" t="s">
        <v>102</v>
      </c>
      <c r="B2" s="65"/>
      <c r="C2" s="65"/>
      <c r="D2" s="65"/>
      <c r="E2" s="65"/>
      <c r="F2" s="65"/>
    </row>
    <row r="4" spans="1:7" ht="15" customHeight="1">
      <c r="A4" s="24" t="s">
        <v>103</v>
      </c>
    </row>
    <row r="5" spans="1:7" ht="15.75" customHeight="1">
      <c r="A5" s="2" t="s">
        <v>104</v>
      </c>
      <c r="B5" s="2" t="s">
        <v>89</v>
      </c>
      <c r="C5" s="2" t="s">
        <v>90</v>
      </c>
      <c r="D5" s="2" t="s">
        <v>91</v>
      </c>
      <c r="E5" s="2" t="s">
        <v>92</v>
      </c>
    </row>
    <row r="6" spans="1:7" ht="15" customHeight="1">
      <c r="A6" s="8" t="s">
        <v>105</v>
      </c>
      <c r="B6" s="3">
        <v>28</v>
      </c>
      <c r="C6" s="3">
        <v>10</v>
      </c>
      <c r="D6" s="3">
        <v>13</v>
      </c>
      <c r="E6" s="3">
        <v>21</v>
      </c>
    </row>
    <row r="7" spans="1:7" ht="15" customHeight="1">
      <c r="A7" s="8" t="s">
        <v>106</v>
      </c>
      <c r="B7" s="3">
        <v>19</v>
      </c>
      <c r="C7" s="3">
        <v>17</v>
      </c>
      <c r="D7" s="3">
        <v>20</v>
      </c>
      <c r="E7" s="3">
        <v>9</v>
      </c>
    </row>
    <row r="8" spans="1:7" ht="15" customHeight="1">
      <c r="A8" s="8" t="s">
        <v>107</v>
      </c>
      <c r="B8" s="3">
        <v>8</v>
      </c>
      <c r="C8" s="3">
        <v>3</v>
      </c>
      <c r="D8" s="3">
        <v>1</v>
      </c>
      <c r="E8" s="3">
        <v>4</v>
      </c>
    </row>
    <row r="9" spans="1:7" ht="15" customHeight="1">
      <c r="A9" s="8" t="s">
        <v>108</v>
      </c>
      <c r="B9" s="3">
        <v>2</v>
      </c>
      <c r="C9" s="3">
        <v>1</v>
      </c>
      <c r="D9" s="23">
        <v>0</v>
      </c>
      <c r="E9" s="3">
        <v>2</v>
      </c>
    </row>
    <row r="10" spans="1:7" ht="15" customHeight="1">
      <c r="A10" s="8" t="s">
        <v>109</v>
      </c>
      <c r="B10" s="3">
        <v>1</v>
      </c>
      <c r="C10" s="23">
        <v>0</v>
      </c>
      <c r="D10" s="23">
        <v>0</v>
      </c>
      <c r="E10" s="3">
        <v>2</v>
      </c>
    </row>
    <row r="11" spans="1:7" ht="15" customHeight="1">
      <c r="A11" s="8" t="s">
        <v>110</v>
      </c>
      <c r="B11" s="3">
        <v>1</v>
      </c>
      <c r="C11" s="23">
        <v>0</v>
      </c>
      <c r="D11" s="23">
        <v>0</v>
      </c>
      <c r="E11" s="23">
        <v>0</v>
      </c>
    </row>
    <row r="12" spans="1:7" ht="15" customHeight="1">
      <c r="A12" s="8" t="s">
        <v>111</v>
      </c>
      <c r="B12" s="25">
        <v>0</v>
      </c>
      <c r="C12" s="3">
        <v>1</v>
      </c>
      <c r="D12" s="23">
        <v>0</v>
      </c>
      <c r="E12" s="23">
        <v>0</v>
      </c>
    </row>
    <row r="13" spans="1:7" ht="15" customHeight="1">
      <c r="A13" s="8" t="s">
        <v>112</v>
      </c>
      <c r="B13" s="23">
        <v>0</v>
      </c>
      <c r="C13" s="23">
        <v>0</v>
      </c>
      <c r="D13" s="3">
        <v>1</v>
      </c>
      <c r="E13" s="23">
        <v>0</v>
      </c>
    </row>
    <row r="14" spans="1:7" ht="15" customHeight="1">
      <c r="A14" s="8" t="s">
        <v>113</v>
      </c>
      <c r="B14" s="23">
        <v>0</v>
      </c>
      <c r="C14" s="23">
        <v>0</v>
      </c>
      <c r="D14" s="3">
        <v>1</v>
      </c>
      <c r="E14" s="23">
        <v>0</v>
      </c>
    </row>
    <row r="15" spans="1:7" ht="15" customHeight="1">
      <c r="A15" s="8" t="s">
        <v>114</v>
      </c>
      <c r="B15" s="23">
        <v>0</v>
      </c>
      <c r="C15" s="23">
        <v>0</v>
      </c>
      <c r="D15" s="3">
        <v>1</v>
      </c>
      <c r="E15" s="23">
        <v>0</v>
      </c>
    </row>
    <row r="16" spans="1:7" ht="15" customHeight="1">
      <c r="A16" s="8" t="s">
        <v>115</v>
      </c>
      <c r="B16" s="23">
        <v>0</v>
      </c>
      <c r="C16" s="23">
        <v>0</v>
      </c>
      <c r="D16" s="3">
        <v>1</v>
      </c>
      <c r="E16" s="23">
        <v>0</v>
      </c>
    </row>
    <row r="17" spans="1:14" ht="15" customHeight="1">
      <c r="A17" s="8" t="s">
        <v>116</v>
      </c>
      <c r="B17" s="23">
        <v>0</v>
      </c>
      <c r="C17" s="23">
        <v>0</v>
      </c>
      <c r="D17" s="23">
        <v>0</v>
      </c>
      <c r="E17" s="3">
        <v>1</v>
      </c>
    </row>
    <row r="18" spans="1:14" ht="15" customHeight="1">
      <c r="A18" s="8" t="s">
        <v>117</v>
      </c>
      <c r="B18" s="23">
        <v>0</v>
      </c>
      <c r="C18" s="23">
        <v>0</v>
      </c>
      <c r="D18" s="23">
        <v>0</v>
      </c>
      <c r="E18" s="3">
        <v>1</v>
      </c>
      <c r="I18" s="66" t="s">
        <v>118</v>
      </c>
      <c r="J18" s="66"/>
      <c r="K18" s="66"/>
      <c r="L18" s="66"/>
      <c r="M18" s="66"/>
      <c r="N18" s="66"/>
    </row>
    <row r="19" spans="1:14" ht="15" customHeight="1">
      <c r="A19" s="26" t="s">
        <v>119</v>
      </c>
      <c r="B19" s="27">
        <v>59</v>
      </c>
      <c r="C19" s="27">
        <v>32</v>
      </c>
      <c r="D19" s="27">
        <v>37</v>
      </c>
      <c r="E19" s="27">
        <v>40</v>
      </c>
      <c r="I19" s="66"/>
      <c r="J19" s="66"/>
      <c r="K19" s="66"/>
      <c r="L19" s="66"/>
      <c r="M19" s="66"/>
      <c r="N19" s="66"/>
    </row>
    <row r="22" spans="1:14" ht="15" customHeight="1">
      <c r="A22" s="24" t="s">
        <v>120</v>
      </c>
    </row>
    <row r="23" spans="1:14" ht="15.75" customHeight="1">
      <c r="A23" s="2" t="s">
        <v>104</v>
      </c>
      <c r="B23" s="2" t="s">
        <v>89</v>
      </c>
      <c r="C23" s="2" t="s">
        <v>90</v>
      </c>
      <c r="D23" s="2" t="s">
        <v>91</v>
      </c>
      <c r="E23" s="2" t="s">
        <v>92</v>
      </c>
    </row>
    <row r="24" spans="1:14" ht="15" customHeight="1">
      <c r="A24" s="28" t="s">
        <v>121</v>
      </c>
      <c r="B24" s="3">
        <v>21</v>
      </c>
      <c r="C24" s="3">
        <v>8</v>
      </c>
      <c r="D24" s="3">
        <v>16</v>
      </c>
      <c r="E24" s="3">
        <v>6</v>
      </c>
    </row>
    <row r="25" spans="1:14" ht="15" customHeight="1">
      <c r="A25" s="28" t="s">
        <v>122</v>
      </c>
      <c r="B25" s="3">
        <v>30</v>
      </c>
      <c r="C25" s="3">
        <v>17</v>
      </c>
      <c r="D25" s="3">
        <v>18</v>
      </c>
      <c r="E25" s="3">
        <v>21</v>
      </c>
    </row>
    <row r="26" spans="1:14" ht="15" customHeight="1">
      <c r="A26" s="28" t="s">
        <v>123</v>
      </c>
      <c r="B26" s="3">
        <v>19</v>
      </c>
      <c r="C26" s="3">
        <v>12</v>
      </c>
      <c r="D26" s="3">
        <v>4</v>
      </c>
      <c r="E26" s="3">
        <v>4</v>
      </c>
    </row>
    <row r="27" spans="1:14" ht="15" customHeight="1">
      <c r="A27" s="28" t="s">
        <v>124</v>
      </c>
      <c r="B27" s="3">
        <v>6</v>
      </c>
      <c r="C27" s="23">
        <v>0</v>
      </c>
      <c r="D27" s="3">
        <v>6</v>
      </c>
      <c r="E27" s="3">
        <v>4</v>
      </c>
    </row>
    <row r="28" spans="1:14" ht="15" customHeight="1">
      <c r="A28" s="28" t="s">
        <v>125</v>
      </c>
      <c r="B28" s="3">
        <v>9</v>
      </c>
      <c r="C28" s="3">
        <v>3</v>
      </c>
      <c r="D28" s="3">
        <v>10</v>
      </c>
      <c r="E28" s="3">
        <v>10</v>
      </c>
    </row>
    <row r="29" spans="1:14" ht="15" customHeight="1">
      <c r="A29" s="28" t="s">
        <v>126</v>
      </c>
      <c r="B29" s="3">
        <v>1</v>
      </c>
      <c r="C29" s="3">
        <v>1</v>
      </c>
      <c r="D29" s="3">
        <v>1</v>
      </c>
      <c r="E29" s="3">
        <v>2</v>
      </c>
    </row>
    <row r="30" spans="1:14" ht="15" customHeight="1">
      <c r="A30" s="28" t="s">
        <v>127</v>
      </c>
      <c r="B30" s="3">
        <v>6</v>
      </c>
      <c r="C30" s="3">
        <v>8</v>
      </c>
      <c r="D30" s="3">
        <v>6</v>
      </c>
      <c r="E30" s="3">
        <v>9</v>
      </c>
    </row>
    <row r="31" spans="1:14" ht="15" customHeight="1">
      <c r="A31" s="28" t="s">
        <v>128</v>
      </c>
      <c r="B31" s="3">
        <v>2</v>
      </c>
      <c r="C31" s="3">
        <v>4</v>
      </c>
      <c r="D31" s="3">
        <v>2</v>
      </c>
      <c r="E31" s="3">
        <v>9</v>
      </c>
    </row>
    <row r="32" spans="1:14" ht="15" customHeight="1">
      <c r="A32" s="28" t="s">
        <v>129</v>
      </c>
      <c r="B32" s="3">
        <v>1</v>
      </c>
      <c r="C32" s="3">
        <v>3</v>
      </c>
      <c r="D32" s="3">
        <v>3</v>
      </c>
      <c r="E32" s="23">
        <v>0</v>
      </c>
    </row>
    <row r="33" spans="1:14" ht="15" customHeight="1">
      <c r="A33" s="28" t="s">
        <v>130</v>
      </c>
      <c r="B33" s="3">
        <v>1</v>
      </c>
      <c r="C33" s="23">
        <v>0</v>
      </c>
      <c r="D33" s="23">
        <v>0</v>
      </c>
      <c r="E33" s="3">
        <v>1</v>
      </c>
    </row>
    <row r="34" spans="1:14" ht="15" customHeight="1">
      <c r="A34" s="28" t="s">
        <v>131</v>
      </c>
      <c r="B34" s="3">
        <v>2</v>
      </c>
      <c r="C34" s="3">
        <v>3</v>
      </c>
      <c r="D34" s="3">
        <v>1</v>
      </c>
      <c r="E34" s="3">
        <v>4</v>
      </c>
    </row>
    <row r="35" spans="1:14" ht="15" customHeight="1">
      <c r="A35" s="28" t="s">
        <v>132</v>
      </c>
      <c r="B35" s="3">
        <v>1</v>
      </c>
      <c r="C35" s="3">
        <v>3</v>
      </c>
      <c r="D35" s="3">
        <v>2</v>
      </c>
      <c r="E35" s="3">
        <v>1</v>
      </c>
      <c r="I35" s="66" t="s">
        <v>133</v>
      </c>
      <c r="J35" s="66"/>
      <c r="K35" s="66"/>
      <c r="L35" s="66"/>
      <c r="M35" s="66"/>
      <c r="N35" s="66"/>
    </row>
    <row r="36" spans="1:14" ht="15" customHeight="1">
      <c r="A36" s="28" t="s">
        <v>134</v>
      </c>
      <c r="B36" s="3">
        <v>5</v>
      </c>
      <c r="C36" s="3">
        <v>5</v>
      </c>
      <c r="D36" s="3">
        <v>4</v>
      </c>
      <c r="E36" s="3">
        <v>3</v>
      </c>
      <c r="I36" s="66"/>
      <c r="J36" s="66"/>
      <c r="K36" s="66"/>
      <c r="L36" s="66"/>
      <c r="M36" s="66"/>
      <c r="N36" s="66"/>
    </row>
    <row r="37" spans="1:14" ht="15" customHeight="1">
      <c r="A37" s="28" t="s">
        <v>135</v>
      </c>
      <c r="B37" s="23">
        <v>0</v>
      </c>
      <c r="C37" s="23">
        <v>0</v>
      </c>
      <c r="D37" s="23">
        <v>0</v>
      </c>
      <c r="E37" s="3">
        <v>1</v>
      </c>
    </row>
    <row r="38" spans="1:14" ht="15" customHeight="1">
      <c r="A38" s="26" t="s">
        <v>119</v>
      </c>
      <c r="B38" s="27">
        <v>104</v>
      </c>
      <c r="C38" s="27">
        <v>67</v>
      </c>
      <c r="D38" s="27">
        <v>73</v>
      </c>
      <c r="E38" s="27">
        <v>75</v>
      </c>
    </row>
    <row r="40" spans="1:14" ht="23.25" customHeight="1">
      <c r="A40" s="65" t="s">
        <v>136</v>
      </c>
      <c r="B40" s="65"/>
      <c r="C40" s="65"/>
      <c r="D40" s="65"/>
      <c r="E40" s="65"/>
    </row>
    <row r="41" spans="1:14" ht="51.75" customHeight="1">
      <c r="A41" s="63" t="s">
        <v>137</v>
      </c>
      <c r="B41" s="63"/>
      <c r="C41" s="63"/>
      <c r="D41" s="63"/>
      <c r="E41" s="63"/>
    </row>
  </sheetData>
  <mergeCells count="6">
    <mergeCell ref="A41:E41"/>
    <mergeCell ref="A1:F1"/>
    <mergeCell ref="A2:F2"/>
    <mergeCell ref="I18:N19"/>
    <mergeCell ref="I35:N36"/>
    <mergeCell ref="A40:E40"/>
  </mergeCells>
  <hyperlinks>
    <hyperlink ref="G1" r:id="rId1" location="'ملخص%20عام'!A1" xr:uid="{00000000-0004-0000-0300-000000000000}"/>
  </hyperlinks>
  <pageMargins left="0.75" right="0.75" top="1" bottom="1" header="0.511811023622047" footer="0.511811023622047"/>
  <pageSetup paperSize="9" orientation="portrait" horizontalDpi="300" verticalDpi="30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rightToLeft="1" zoomScaleNormal="100" workbookViewId="0">
      <selection activeCell="C7" sqref="C7"/>
    </sheetView>
  </sheetViews>
  <sheetFormatPr defaultColWidth="8.7109375" defaultRowHeight="15"/>
  <cols>
    <col min="1" max="1" width="42" customWidth="1"/>
    <col min="2" max="5" width="14" customWidth="1"/>
  </cols>
  <sheetData>
    <row r="1" spans="1:7" ht="18" customHeight="1">
      <c r="A1" s="64" t="s">
        <v>138</v>
      </c>
      <c r="B1" s="64"/>
      <c r="C1" s="64"/>
      <c r="D1" s="64"/>
      <c r="E1" s="64"/>
      <c r="F1" s="64"/>
      <c r="G1" s="21" t="s">
        <v>86</v>
      </c>
    </row>
    <row r="2" spans="1:7" ht="15" customHeight="1">
      <c r="A2" s="65" t="s">
        <v>139</v>
      </c>
      <c r="B2" s="65"/>
      <c r="C2" s="65"/>
      <c r="D2" s="65"/>
      <c r="E2" s="65"/>
      <c r="F2" s="65"/>
    </row>
    <row r="4" spans="1:7" ht="15.75" customHeight="1">
      <c r="A4" s="2" t="s">
        <v>88</v>
      </c>
      <c r="B4" s="2" t="s">
        <v>89</v>
      </c>
      <c r="C4" s="2" t="s">
        <v>90</v>
      </c>
      <c r="D4" s="2" t="s">
        <v>91</v>
      </c>
      <c r="E4" s="2" t="s">
        <v>92</v>
      </c>
    </row>
    <row r="5" spans="1:7" ht="15" customHeight="1">
      <c r="A5" s="22" t="s">
        <v>140</v>
      </c>
      <c r="B5" s="3">
        <v>234</v>
      </c>
      <c r="C5" s="3">
        <v>197</v>
      </c>
      <c r="D5" s="3">
        <v>129</v>
      </c>
      <c r="E5" s="3">
        <v>153</v>
      </c>
    </row>
    <row r="6" spans="1:7" ht="15" customHeight="1">
      <c r="A6" s="8" t="s">
        <v>141</v>
      </c>
      <c r="B6" s="3">
        <v>325</v>
      </c>
      <c r="C6" s="3">
        <v>244</v>
      </c>
      <c r="D6" s="3">
        <v>151</v>
      </c>
      <c r="E6" s="3">
        <v>194</v>
      </c>
    </row>
    <row r="7" spans="1:7" ht="15" customHeight="1">
      <c r="A7" s="11" t="s">
        <v>142</v>
      </c>
      <c r="B7">
        <v>299</v>
      </c>
      <c r="C7">
        <v>239</v>
      </c>
      <c r="D7" s="11" t="s">
        <v>6</v>
      </c>
      <c r="E7" s="11" t="s">
        <v>6</v>
      </c>
    </row>
    <row r="8" spans="1:7" ht="15" customHeight="1">
      <c r="A8" s="11" t="s">
        <v>143</v>
      </c>
      <c r="B8">
        <v>26</v>
      </c>
      <c r="C8">
        <v>5</v>
      </c>
      <c r="D8" s="11" t="s">
        <v>6</v>
      </c>
      <c r="E8" s="11" t="s">
        <v>6</v>
      </c>
    </row>
    <row r="10" spans="1:7" ht="15" customHeight="1">
      <c r="A10" s="11" t="s">
        <v>144</v>
      </c>
    </row>
    <row r="18" spans="9:14" ht="15" customHeight="1">
      <c r="I18" s="66" t="s">
        <v>145</v>
      </c>
      <c r="J18" s="66"/>
      <c r="K18" s="66"/>
      <c r="L18" s="66"/>
      <c r="M18" s="66"/>
      <c r="N18" s="66"/>
    </row>
    <row r="19" spans="9:14">
      <c r="I19" s="66"/>
      <c r="J19" s="66"/>
      <c r="K19" s="66"/>
      <c r="L19" s="66"/>
      <c r="M19" s="66"/>
      <c r="N19" s="66"/>
    </row>
  </sheetData>
  <mergeCells count="3">
    <mergeCell ref="A1:F1"/>
    <mergeCell ref="A2:F2"/>
    <mergeCell ref="I18:N19"/>
  </mergeCells>
  <hyperlinks>
    <hyperlink ref="G1" r:id="rId1" location="'ملخص%20عام'!A1" xr:uid="{00000000-0004-0000-0400-000000000000}"/>
  </hyperlinks>
  <pageMargins left="0.75" right="0.75" top="1" bottom="1" header="0.511811023622047" footer="0.511811023622047"/>
  <pageSetup paperSize="9" orientation="portrait" horizontalDpi="300" verticalDpi="30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9"/>
  <sheetViews>
    <sheetView rightToLeft="1" zoomScaleNormal="100" workbookViewId="0">
      <selection activeCell="G1" sqref="G1"/>
    </sheetView>
  </sheetViews>
  <sheetFormatPr defaultColWidth="8.7109375" defaultRowHeight="15"/>
  <cols>
    <col min="1" max="1" width="42" customWidth="1"/>
    <col min="2" max="5" width="14" customWidth="1"/>
  </cols>
  <sheetData>
    <row r="1" spans="1:7" ht="18" customHeight="1">
      <c r="A1" s="64" t="s">
        <v>146</v>
      </c>
      <c r="B1" s="64"/>
      <c r="C1" s="64"/>
      <c r="D1" s="64"/>
      <c r="E1" s="64"/>
      <c r="F1" s="64"/>
      <c r="G1" s="21" t="s">
        <v>86</v>
      </c>
    </row>
    <row r="2" spans="1:7" ht="15" customHeight="1">
      <c r="A2" s="65" t="s">
        <v>147</v>
      </c>
      <c r="B2" s="65"/>
      <c r="C2" s="65"/>
      <c r="D2" s="65"/>
      <c r="E2" s="65"/>
      <c r="F2" s="65"/>
    </row>
    <row r="4" spans="1:7" ht="15.75" customHeight="1">
      <c r="A4" s="2" t="s">
        <v>88</v>
      </c>
      <c r="B4" s="2" t="s">
        <v>89</v>
      </c>
      <c r="C4" s="2" t="s">
        <v>90</v>
      </c>
      <c r="D4" s="2" t="s">
        <v>91</v>
      </c>
      <c r="E4" s="2" t="s">
        <v>92</v>
      </c>
    </row>
    <row r="5" spans="1:7" ht="15" customHeight="1">
      <c r="A5" s="22" t="s">
        <v>148</v>
      </c>
      <c r="B5" s="3">
        <v>229</v>
      </c>
      <c r="C5" s="3">
        <v>174</v>
      </c>
      <c r="D5" s="3">
        <v>143</v>
      </c>
      <c r="E5" s="3">
        <v>173</v>
      </c>
    </row>
    <row r="6" spans="1:7" ht="15" customHeight="1">
      <c r="A6" s="8" t="s">
        <v>149</v>
      </c>
      <c r="B6" s="3">
        <v>219</v>
      </c>
      <c r="C6" s="3">
        <v>171</v>
      </c>
      <c r="D6" s="3">
        <v>137</v>
      </c>
      <c r="E6" s="3">
        <v>168</v>
      </c>
    </row>
    <row r="7" spans="1:7" ht="15" customHeight="1">
      <c r="A7" s="8" t="s">
        <v>150</v>
      </c>
      <c r="B7" s="3">
        <v>298</v>
      </c>
      <c r="C7" s="3">
        <v>217</v>
      </c>
      <c r="D7" s="3">
        <v>170</v>
      </c>
      <c r="E7" s="3">
        <v>222</v>
      </c>
    </row>
    <row r="18" spans="9:14" ht="15" customHeight="1">
      <c r="I18" s="66" t="s">
        <v>151</v>
      </c>
      <c r="J18" s="66"/>
      <c r="K18" s="66"/>
      <c r="L18" s="66"/>
      <c r="M18" s="66"/>
      <c r="N18" s="66"/>
    </row>
    <row r="19" spans="9:14">
      <c r="I19" s="66"/>
      <c r="J19" s="66"/>
      <c r="K19" s="66"/>
      <c r="L19" s="66"/>
      <c r="M19" s="66"/>
      <c r="N19" s="66"/>
    </row>
  </sheetData>
  <mergeCells count="3">
    <mergeCell ref="A1:F1"/>
    <mergeCell ref="A2:F2"/>
    <mergeCell ref="I18:N19"/>
  </mergeCells>
  <hyperlinks>
    <hyperlink ref="G1" r:id="rId1" location="'ملخص%20عام'!A1" xr:uid="{00000000-0004-0000-0500-000000000000}"/>
  </hyperlinks>
  <pageMargins left="0.75" right="0.75" top="1" bottom="1" header="0.511811023622047" footer="0.511811023622047"/>
  <pageSetup paperSize="9" orientation="portrait" horizontalDpi="300" verticalDpi="30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9"/>
  <sheetViews>
    <sheetView rightToLeft="1" zoomScaleNormal="100" workbookViewId="0">
      <selection activeCell="C8" sqref="C8"/>
    </sheetView>
  </sheetViews>
  <sheetFormatPr defaultColWidth="8.7109375" defaultRowHeight="15"/>
  <cols>
    <col min="1" max="1" width="42" customWidth="1"/>
    <col min="2" max="5" width="14" customWidth="1"/>
  </cols>
  <sheetData>
    <row r="1" spans="1:7" ht="18" customHeight="1">
      <c r="A1" s="64" t="s">
        <v>152</v>
      </c>
      <c r="B1" s="64"/>
      <c r="C1" s="64"/>
      <c r="D1" s="64"/>
      <c r="E1" s="64"/>
      <c r="F1" s="64"/>
      <c r="G1" s="21" t="s">
        <v>86</v>
      </c>
    </row>
    <row r="2" spans="1:7" ht="15" customHeight="1">
      <c r="A2" s="65" t="s">
        <v>153</v>
      </c>
      <c r="B2" s="65"/>
      <c r="C2" s="65"/>
      <c r="D2" s="65"/>
      <c r="E2" s="65"/>
      <c r="F2" s="65"/>
    </row>
    <row r="4" spans="1:7" ht="15.75" customHeight="1">
      <c r="A4" s="2" t="s">
        <v>88</v>
      </c>
      <c r="B4" s="2" t="s">
        <v>89</v>
      </c>
      <c r="C4" s="2" t="s">
        <v>90</v>
      </c>
      <c r="D4" s="2" t="s">
        <v>91</v>
      </c>
      <c r="E4" s="2" t="s">
        <v>92</v>
      </c>
    </row>
    <row r="5" spans="1:7" ht="15" customHeight="1">
      <c r="A5" s="22" t="s">
        <v>154</v>
      </c>
      <c r="B5" s="3">
        <v>61</v>
      </c>
      <c r="C5" s="3">
        <v>33</v>
      </c>
      <c r="D5" s="3">
        <v>38</v>
      </c>
      <c r="E5" s="3">
        <v>38</v>
      </c>
    </row>
    <row r="6" spans="1:7" ht="15" customHeight="1">
      <c r="A6" s="8" t="s">
        <v>155</v>
      </c>
      <c r="B6" s="3">
        <v>58</v>
      </c>
      <c r="C6" s="3">
        <v>32</v>
      </c>
      <c r="D6" s="3">
        <v>32</v>
      </c>
      <c r="E6" s="3">
        <v>38</v>
      </c>
    </row>
    <row r="7" spans="1:7" ht="15" customHeight="1">
      <c r="A7" s="8" t="s">
        <v>156</v>
      </c>
      <c r="B7" s="3">
        <v>93</v>
      </c>
      <c r="C7" s="3">
        <v>58</v>
      </c>
      <c r="D7" s="3">
        <v>68</v>
      </c>
      <c r="E7" s="3">
        <v>75</v>
      </c>
    </row>
    <row r="8" spans="1:7" ht="15" customHeight="1">
      <c r="A8" s="8" t="s">
        <v>157</v>
      </c>
      <c r="B8" s="23" t="s">
        <v>6</v>
      </c>
      <c r="C8" s="23" t="s">
        <v>6</v>
      </c>
      <c r="D8" s="23" t="s">
        <v>6</v>
      </c>
      <c r="E8" s="3">
        <v>12</v>
      </c>
    </row>
    <row r="9" spans="1:7" ht="15" customHeight="1">
      <c r="A9" s="8" t="s">
        <v>158</v>
      </c>
      <c r="B9" s="23" t="s">
        <v>6</v>
      </c>
      <c r="C9" s="23" t="s">
        <v>6</v>
      </c>
      <c r="D9" s="23" t="s">
        <v>6</v>
      </c>
      <c r="E9" s="3">
        <v>63</v>
      </c>
    </row>
    <row r="11" spans="1:7" ht="23.25" customHeight="1">
      <c r="A11" s="65" t="s">
        <v>159</v>
      </c>
      <c r="B11" s="65"/>
      <c r="C11" s="65"/>
      <c r="D11" s="65"/>
      <c r="E11" s="65"/>
    </row>
    <row r="18" spans="9:14" ht="15" customHeight="1">
      <c r="I18" s="66" t="s">
        <v>160</v>
      </c>
      <c r="J18" s="66"/>
      <c r="K18" s="66"/>
      <c r="L18" s="66"/>
      <c r="M18" s="66"/>
      <c r="N18" s="66"/>
    </row>
    <row r="19" spans="9:14">
      <c r="I19" s="66"/>
      <c r="J19" s="66"/>
      <c r="K19" s="66"/>
      <c r="L19" s="66"/>
      <c r="M19" s="66"/>
      <c r="N19" s="66"/>
    </row>
  </sheetData>
  <mergeCells count="4">
    <mergeCell ref="A1:F1"/>
    <mergeCell ref="A2:F2"/>
    <mergeCell ref="A11:E11"/>
    <mergeCell ref="I18:N19"/>
  </mergeCells>
  <hyperlinks>
    <hyperlink ref="G1" r:id="rId1" location="'ملخص%20عام'!A1" xr:uid="{00000000-0004-0000-0600-000000000000}"/>
  </hyperlinks>
  <pageMargins left="0.75" right="0.75" top="1" bottom="1" header="0.511811023622047" footer="0.511811023622047"/>
  <pageSetup paperSize="9" orientation="portrait" horizontalDpi="300" verticalDpi="30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9"/>
  <sheetViews>
    <sheetView rightToLeft="1" zoomScaleNormal="100" workbookViewId="0">
      <selection activeCell="D8" sqref="D8"/>
    </sheetView>
  </sheetViews>
  <sheetFormatPr defaultColWidth="8.7109375" defaultRowHeight="15"/>
  <cols>
    <col min="1" max="1" width="42" customWidth="1"/>
    <col min="2" max="5" width="14" customWidth="1"/>
  </cols>
  <sheetData>
    <row r="1" spans="1:7" ht="18" customHeight="1">
      <c r="A1" s="64" t="s">
        <v>161</v>
      </c>
      <c r="B1" s="64"/>
      <c r="C1" s="64"/>
      <c r="D1" s="64"/>
      <c r="E1" s="64"/>
      <c r="F1" s="64"/>
      <c r="G1" s="21" t="s">
        <v>86</v>
      </c>
    </row>
    <row r="2" spans="1:7" ht="15" customHeight="1">
      <c r="A2" s="65" t="s">
        <v>162</v>
      </c>
      <c r="B2" s="65"/>
      <c r="C2" s="65"/>
      <c r="D2" s="65"/>
      <c r="E2" s="65"/>
      <c r="F2" s="65"/>
    </row>
    <row r="4" spans="1:7" ht="15.75" customHeight="1">
      <c r="A4" s="2" t="s">
        <v>88</v>
      </c>
      <c r="B4" s="2" t="s">
        <v>89</v>
      </c>
      <c r="C4" s="2" t="s">
        <v>90</v>
      </c>
      <c r="D4" s="2" t="s">
        <v>91</v>
      </c>
      <c r="E4" s="2" t="s">
        <v>92</v>
      </c>
    </row>
    <row r="5" spans="1:7" ht="15" customHeight="1">
      <c r="A5" s="22" t="s">
        <v>163</v>
      </c>
      <c r="B5" s="23">
        <f>ROUND(B8/B6*100,1)</f>
        <v>50.6</v>
      </c>
      <c r="C5" s="23">
        <f>ROUND(C8/C6*100,1)</f>
        <v>123.1</v>
      </c>
      <c r="D5" s="23">
        <f>ROUND(D8/D6*100,1)</f>
        <v>130.19999999999999</v>
      </c>
      <c r="E5" s="23">
        <f>ROUND(E8/E6*100,1)</f>
        <v>122</v>
      </c>
    </row>
    <row r="6" spans="1:7" ht="15" customHeight="1">
      <c r="A6" s="11" t="s">
        <v>164</v>
      </c>
      <c r="B6">
        <f>'34-نموذج1 قضايا ومشتبهين'!B7</f>
        <v>87</v>
      </c>
      <c r="C6">
        <f>'34-نموذج1 قضايا ومشتبهين'!C7</f>
        <v>52</v>
      </c>
      <c r="D6">
        <f>'34-نموذج1 قضايا ومشتبهين'!D7</f>
        <v>43</v>
      </c>
      <c r="E6">
        <f>'34-نموذج1 قضايا ومشتبهين'!E7</f>
        <v>41</v>
      </c>
    </row>
    <row r="7" spans="1:7" ht="15" customHeight="1">
      <c r="A7" s="65" t="s">
        <v>165</v>
      </c>
      <c r="B7" s="65"/>
      <c r="C7" s="65"/>
      <c r="D7" s="65"/>
      <c r="E7" s="65"/>
    </row>
    <row r="8" spans="1:7" ht="15" customHeight="1">
      <c r="A8" s="11" t="s">
        <v>166</v>
      </c>
      <c r="B8">
        <f>SUM('34-نموذج1 قضايا ومشتبهين'!B10:B12)</f>
        <v>44</v>
      </c>
      <c r="C8">
        <f>SUM('34-نموذج1 قضايا ومشتبهين'!C10:C12)</f>
        <v>64</v>
      </c>
      <c r="D8">
        <f>SUM('34-نموذج1 قضايا ومشتبهين'!D10:D12)</f>
        <v>56</v>
      </c>
      <c r="E8">
        <f>SUM('34-نموذج1 قضايا ومشتبهين'!E10:E12)</f>
        <v>50</v>
      </c>
    </row>
    <row r="18" spans="9:14" ht="15" customHeight="1">
      <c r="I18" s="66" t="s">
        <v>167</v>
      </c>
      <c r="J18" s="66"/>
      <c r="K18" s="66"/>
      <c r="L18" s="66"/>
      <c r="M18" s="66"/>
      <c r="N18" s="66"/>
    </row>
    <row r="19" spans="9:14">
      <c r="I19" s="66"/>
      <c r="J19" s="66"/>
      <c r="K19" s="66"/>
      <c r="L19" s="66"/>
      <c r="M19" s="66"/>
      <c r="N19" s="66"/>
    </row>
  </sheetData>
  <mergeCells count="4">
    <mergeCell ref="A1:F1"/>
    <mergeCell ref="A2:F2"/>
    <mergeCell ref="A7:E7"/>
    <mergeCell ref="I18:N19"/>
  </mergeCells>
  <hyperlinks>
    <hyperlink ref="G1" r:id="rId1" location="'ملخص%20عام'!A1" xr:uid="{00000000-0004-0000-0700-000000000000}"/>
  </hyperlinks>
  <pageMargins left="0.75" right="0.75" top="1" bottom="1" header="0.511811023622047" footer="0.511811023622047"/>
  <pageSetup paperSize="9" orientation="portrait" horizontalDpi="300" verticalDpi="30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9"/>
  <sheetViews>
    <sheetView rightToLeft="1" zoomScaleNormal="100" workbookViewId="0">
      <selection activeCell="J22" sqref="J22"/>
    </sheetView>
  </sheetViews>
  <sheetFormatPr defaultColWidth="8.7109375" defaultRowHeight="15"/>
  <cols>
    <col min="1" max="1" width="42" customWidth="1"/>
    <col min="2" max="5" width="14" customWidth="1"/>
  </cols>
  <sheetData>
    <row r="1" spans="1:14" ht="18" customHeight="1">
      <c r="A1" s="64" t="s">
        <v>168</v>
      </c>
      <c r="B1" s="64"/>
      <c r="C1" s="64"/>
      <c r="D1" s="64"/>
      <c r="E1" s="64"/>
      <c r="F1" s="64"/>
      <c r="G1" s="21" t="s">
        <v>86</v>
      </c>
    </row>
    <row r="2" spans="1:14" ht="15" customHeight="1">
      <c r="A2" s="65" t="s">
        <v>169</v>
      </c>
      <c r="B2" s="65"/>
      <c r="C2" s="65"/>
      <c r="D2" s="65"/>
      <c r="E2" s="65"/>
      <c r="F2" s="65"/>
    </row>
    <row r="4" spans="1:14" ht="15.75" customHeight="1">
      <c r="A4" s="2" t="s">
        <v>88</v>
      </c>
      <c r="B4" s="2" t="s">
        <v>89</v>
      </c>
      <c r="C4" s="2" t="s">
        <v>90</v>
      </c>
      <c r="D4" s="2" t="s">
        <v>91</v>
      </c>
      <c r="E4" s="2" t="s">
        <v>92</v>
      </c>
    </row>
    <row r="5" spans="1:14" ht="15" customHeight="1">
      <c r="A5" s="22" t="s">
        <v>170</v>
      </c>
      <c r="B5" s="29">
        <v>60</v>
      </c>
      <c r="C5" s="29">
        <v>90</v>
      </c>
      <c r="D5" s="29">
        <v>74</v>
      </c>
      <c r="E5" s="23">
        <v>84</v>
      </c>
    </row>
    <row r="6" spans="1:14" ht="15" customHeight="1">
      <c r="A6" s="11" t="s">
        <v>171</v>
      </c>
      <c r="B6">
        <v>59</v>
      </c>
      <c r="C6">
        <v>89</v>
      </c>
      <c r="D6" s="30">
        <v>68</v>
      </c>
      <c r="E6">
        <v>76</v>
      </c>
    </row>
    <row r="7" spans="1:14" ht="15" customHeight="1">
      <c r="A7" s="65"/>
      <c r="B7" s="65"/>
      <c r="C7" s="65"/>
      <c r="D7" s="65"/>
      <c r="E7" s="65"/>
    </row>
    <row r="8" spans="1:14" ht="15" customHeight="1">
      <c r="A8" s="11" t="s">
        <v>172</v>
      </c>
      <c r="B8">
        <v>1</v>
      </c>
      <c r="C8" s="30">
        <v>1</v>
      </c>
      <c r="D8">
        <v>6</v>
      </c>
      <c r="E8">
        <v>8</v>
      </c>
    </row>
    <row r="10" spans="1:14" ht="15" customHeight="1">
      <c r="A10" s="11" t="s">
        <v>173</v>
      </c>
    </row>
    <row r="12" spans="1:14" ht="90" customHeight="1">
      <c r="A12" s="72" t="s">
        <v>174</v>
      </c>
      <c r="B12" s="72"/>
      <c r="C12" s="72"/>
      <c r="D12" s="72"/>
      <c r="E12" s="72"/>
      <c r="F12" s="72"/>
      <c r="G12" s="72"/>
      <c r="H12" s="72"/>
      <c r="I12" s="72"/>
      <c r="J12" s="72"/>
      <c r="K12" s="72"/>
      <c r="L12" s="72"/>
      <c r="M12" s="72"/>
      <c r="N12" s="72"/>
    </row>
    <row r="13" spans="1:14">
      <c r="A13" s="72"/>
      <c r="B13" s="72"/>
      <c r="C13" s="72"/>
      <c r="D13" s="72"/>
      <c r="E13" s="72"/>
      <c r="F13" s="72"/>
      <c r="G13" s="72"/>
      <c r="H13" s="72"/>
      <c r="I13" s="72"/>
      <c r="J13" s="72"/>
      <c r="K13" s="72"/>
      <c r="L13" s="72"/>
      <c r="M13" s="72"/>
      <c r="N13" s="72"/>
    </row>
    <row r="14" spans="1:14">
      <c r="A14" s="72"/>
      <c r="B14" s="72"/>
      <c r="C14" s="72"/>
      <c r="D14" s="72"/>
      <c r="E14" s="72"/>
      <c r="F14" s="72"/>
      <c r="G14" s="72"/>
      <c r="H14" s="72"/>
      <c r="I14" s="72"/>
      <c r="J14" s="72"/>
      <c r="K14" s="72"/>
      <c r="L14" s="72"/>
      <c r="M14" s="72"/>
      <c r="N14" s="72"/>
    </row>
    <row r="15" spans="1:14">
      <c r="A15" s="72"/>
      <c r="B15" s="72"/>
      <c r="C15" s="72"/>
      <c r="D15" s="72"/>
      <c r="E15" s="72"/>
      <c r="F15" s="72"/>
      <c r="G15" s="72"/>
      <c r="H15" s="72"/>
      <c r="I15" s="72"/>
      <c r="J15" s="72"/>
      <c r="K15" s="72"/>
      <c r="L15" s="72"/>
      <c r="M15" s="72"/>
      <c r="N15" s="72"/>
    </row>
    <row r="18" spans="9:14" ht="15" customHeight="1">
      <c r="I18" s="66" t="s">
        <v>175</v>
      </c>
      <c r="J18" s="66"/>
      <c r="K18" s="66"/>
      <c r="L18" s="66"/>
      <c r="M18" s="66"/>
      <c r="N18" s="66"/>
    </row>
    <row r="19" spans="9:14">
      <c r="I19" s="66"/>
      <c r="J19" s="66"/>
      <c r="K19" s="66"/>
      <c r="L19" s="66"/>
      <c r="M19" s="66"/>
      <c r="N19" s="66"/>
    </row>
  </sheetData>
  <mergeCells count="5">
    <mergeCell ref="A1:F1"/>
    <mergeCell ref="A2:F2"/>
    <mergeCell ref="A7:E7"/>
    <mergeCell ref="A12:N15"/>
    <mergeCell ref="I18:N19"/>
  </mergeCells>
  <hyperlinks>
    <hyperlink ref="G1" r:id="rId1" location="'ملخص%20عام'!A1" xr:uid="{00000000-0004-0000-0800-000000000000}"/>
  </hyperlinks>
  <pageMargins left="0.75" right="0.75" top="1" bottom="1" header="0.511811023622047" footer="0.511811023622047"/>
  <pageSetup paperSize="9" orientation="portrait" horizontalDpi="300" verticalDpi="30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9"/>
  <sheetViews>
    <sheetView rightToLeft="1" zoomScaleNormal="100" workbookViewId="0">
      <selection activeCell="T29" sqref="T29:T30"/>
    </sheetView>
  </sheetViews>
  <sheetFormatPr defaultColWidth="8.7109375" defaultRowHeight="15"/>
  <cols>
    <col min="1" max="1" width="42" customWidth="1"/>
    <col min="2" max="5" width="14" customWidth="1"/>
  </cols>
  <sheetData>
    <row r="1" spans="1:14" ht="18" customHeight="1">
      <c r="A1" s="64" t="s">
        <v>176</v>
      </c>
      <c r="B1" s="64"/>
      <c r="C1" s="64"/>
      <c r="D1" s="64"/>
      <c r="E1" s="64"/>
      <c r="F1" s="64"/>
      <c r="G1" s="21" t="s">
        <v>86</v>
      </c>
    </row>
    <row r="2" spans="1:14" ht="15" customHeight="1">
      <c r="A2" s="65" t="s">
        <v>177</v>
      </c>
      <c r="B2" s="65"/>
      <c r="C2" s="65"/>
      <c r="D2" s="65"/>
      <c r="E2" s="65"/>
      <c r="F2" s="65"/>
    </row>
    <row r="4" spans="1:14" ht="15.75" customHeight="1">
      <c r="A4" s="2" t="s">
        <v>88</v>
      </c>
      <c r="B4" s="2" t="s">
        <v>89</v>
      </c>
      <c r="C4" s="2" t="s">
        <v>90</v>
      </c>
      <c r="D4" s="2" t="s">
        <v>91</v>
      </c>
      <c r="E4" s="2" t="s">
        <v>92</v>
      </c>
    </row>
    <row r="5" spans="1:14" ht="15" customHeight="1">
      <c r="A5" s="22" t="s">
        <v>178</v>
      </c>
      <c r="B5" s="23">
        <v>17</v>
      </c>
      <c r="C5" s="29">
        <v>10</v>
      </c>
      <c r="D5" s="29">
        <v>13</v>
      </c>
      <c r="E5" s="23">
        <v>26</v>
      </c>
    </row>
    <row r="6" spans="1:14" ht="15" customHeight="1">
      <c r="A6" s="11" t="s">
        <v>179</v>
      </c>
      <c r="B6">
        <v>7</v>
      </c>
      <c r="C6">
        <v>6</v>
      </c>
      <c r="D6">
        <v>8</v>
      </c>
      <c r="E6">
        <v>12</v>
      </c>
    </row>
    <row r="7" spans="1:14" ht="15" customHeight="1">
      <c r="A7" s="65"/>
      <c r="B7" s="65"/>
      <c r="C7" s="65"/>
      <c r="D7" s="65"/>
      <c r="E7" s="65"/>
    </row>
    <row r="8" spans="1:14" ht="15" customHeight="1">
      <c r="A8" s="11" t="s">
        <v>180</v>
      </c>
      <c r="B8">
        <v>9</v>
      </c>
      <c r="C8">
        <v>4</v>
      </c>
      <c r="D8">
        <v>2</v>
      </c>
      <c r="E8">
        <v>14</v>
      </c>
    </row>
    <row r="9" spans="1:14" ht="15" customHeight="1">
      <c r="A9" s="11" t="s">
        <v>181</v>
      </c>
      <c r="B9">
        <v>1</v>
      </c>
      <c r="C9">
        <v>0</v>
      </c>
      <c r="D9">
        <v>3</v>
      </c>
      <c r="E9">
        <v>0</v>
      </c>
    </row>
    <row r="10" spans="1:14" ht="15" customHeight="1">
      <c r="A10" s="11" t="s">
        <v>182</v>
      </c>
      <c r="B10">
        <v>1</v>
      </c>
      <c r="C10">
        <v>1</v>
      </c>
      <c r="D10">
        <v>1</v>
      </c>
      <c r="E10">
        <v>0</v>
      </c>
    </row>
    <row r="11" spans="1:14" ht="15" customHeight="1">
      <c r="A11" s="11" t="s">
        <v>183</v>
      </c>
      <c r="B11">
        <v>0</v>
      </c>
      <c r="C11">
        <v>1</v>
      </c>
      <c r="D11">
        <v>0</v>
      </c>
      <c r="E11">
        <v>0</v>
      </c>
    </row>
    <row r="12" spans="1:14" ht="79.5" customHeight="1">
      <c r="A12" s="72" t="s">
        <v>184</v>
      </c>
      <c r="B12" s="72"/>
      <c r="C12" s="72"/>
      <c r="D12" s="72"/>
      <c r="E12" s="72"/>
      <c r="F12" s="72"/>
      <c r="G12" s="72"/>
      <c r="H12" s="72"/>
      <c r="I12" s="72"/>
      <c r="J12" s="72"/>
      <c r="K12" s="72"/>
      <c r="L12" s="72"/>
      <c r="M12" s="72"/>
      <c r="N12" s="72"/>
    </row>
    <row r="13" spans="1:14" ht="15" customHeight="1">
      <c r="A13" s="72"/>
      <c r="B13" s="72"/>
      <c r="C13" s="72"/>
      <c r="D13" s="72"/>
      <c r="E13" s="72"/>
      <c r="F13" s="72"/>
      <c r="G13" s="72"/>
      <c r="H13" s="72"/>
      <c r="I13" s="72"/>
      <c r="J13" s="72"/>
      <c r="K13" s="72"/>
      <c r="L13" s="72"/>
      <c r="M13" s="72"/>
      <c r="N13" s="72"/>
    </row>
    <row r="14" spans="1:14">
      <c r="A14" s="72"/>
      <c r="B14" s="72"/>
      <c r="C14" s="72"/>
      <c r="D14" s="72"/>
      <c r="E14" s="72"/>
      <c r="F14" s="72"/>
      <c r="G14" s="72"/>
      <c r="H14" s="72"/>
      <c r="I14" s="72"/>
      <c r="J14" s="72"/>
      <c r="K14" s="72"/>
      <c r="L14" s="72"/>
      <c r="M14" s="72"/>
      <c r="N14" s="72"/>
    </row>
    <row r="15" spans="1:14">
      <c r="A15" s="72"/>
      <c r="B15" s="72"/>
      <c r="C15" s="72"/>
      <c r="D15" s="72"/>
      <c r="E15" s="72"/>
      <c r="F15" s="72"/>
      <c r="G15" s="72"/>
      <c r="H15" s="72"/>
      <c r="I15" s="72"/>
      <c r="J15" s="72"/>
      <c r="K15" s="72"/>
      <c r="L15" s="72"/>
      <c r="M15" s="72"/>
      <c r="N15" s="72"/>
    </row>
    <row r="18" spans="9:14" ht="15" customHeight="1">
      <c r="I18" s="66" t="s">
        <v>185</v>
      </c>
      <c r="J18" s="66"/>
      <c r="K18" s="66"/>
      <c r="L18" s="66"/>
      <c r="M18" s="66"/>
      <c r="N18" s="66"/>
    </row>
    <row r="19" spans="9:14">
      <c r="I19" s="66"/>
      <c r="J19" s="66"/>
      <c r="K19" s="66"/>
      <c r="L19" s="66"/>
      <c r="M19" s="66"/>
      <c r="N19" s="66"/>
    </row>
  </sheetData>
  <mergeCells count="5">
    <mergeCell ref="A1:F1"/>
    <mergeCell ref="A2:F2"/>
    <mergeCell ref="A7:E7"/>
    <mergeCell ref="A12:N15"/>
    <mergeCell ref="I18:N19"/>
  </mergeCells>
  <hyperlinks>
    <hyperlink ref="G1" r:id="rId1" location="'ملخص%20عام'!A1" xr:uid="{00000000-0004-0000-0900-000000000000}"/>
  </hyperlinks>
  <pageMargins left="0.75" right="0.75" top="1" bottom="1" header="0.511811023622047" footer="0.511811023622047"/>
  <pageSetup paperSize="9" orientation="portrait" horizontalDpi="300" verticalDpi="30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7"/>
  <sheetViews>
    <sheetView rightToLeft="1" zoomScaleNormal="100" workbookViewId="0">
      <selection activeCell="C5" sqref="C5"/>
    </sheetView>
  </sheetViews>
  <sheetFormatPr defaultColWidth="8.7109375" defaultRowHeight="15"/>
  <cols>
    <col min="1" max="1" width="42" customWidth="1"/>
    <col min="2" max="5" width="14" customWidth="1"/>
  </cols>
  <sheetData>
    <row r="1" spans="1:14" ht="18" customHeight="1">
      <c r="A1" s="64" t="s">
        <v>186</v>
      </c>
      <c r="B1" s="64"/>
      <c r="C1" s="64"/>
      <c r="D1" s="64"/>
      <c r="E1" s="64"/>
      <c r="F1" s="64"/>
      <c r="G1" s="21" t="s">
        <v>86</v>
      </c>
    </row>
    <row r="2" spans="1:14" ht="15" customHeight="1">
      <c r="A2" s="65" t="s">
        <v>187</v>
      </c>
      <c r="B2" s="65"/>
      <c r="C2" s="65"/>
      <c r="D2" s="65"/>
      <c r="E2" s="65"/>
      <c r="F2" s="65"/>
    </row>
    <row r="4" spans="1:14" ht="15.75" customHeight="1">
      <c r="A4" s="2" t="s">
        <v>88</v>
      </c>
      <c r="B4" s="2" t="s">
        <v>89</v>
      </c>
      <c r="C4" s="2" t="s">
        <v>90</v>
      </c>
      <c r="D4" s="2" t="s">
        <v>91</v>
      </c>
      <c r="E4" s="2" t="s">
        <v>92</v>
      </c>
    </row>
    <row r="5" spans="1:14" ht="15" customHeight="1">
      <c r="A5" s="22" t="s">
        <v>188</v>
      </c>
      <c r="B5" s="23">
        <v>10</v>
      </c>
      <c r="C5" s="29">
        <v>11</v>
      </c>
      <c r="D5" s="23">
        <v>12</v>
      </c>
      <c r="E5" s="23">
        <v>13</v>
      </c>
    </row>
    <row r="6" spans="1:14" ht="15" customHeight="1">
      <c r="A6" s="11" t="s">
        <v>189</v>
      </c>
      <c r="B6">
        <v>10</v>
      </c>
      <c r="C6" s="30">
        <v>11</v>
      </c>
      <c r="D6">
        <v>12</v>
      </c>
      <c r="E6">
        <v>13</v>
      </c>
    </row>
    <row r="7" spans="1:14" ht="15" customHeight="1">
      <c r="A7" s="65"/>
      <c r="B7" s="65"/>
      <c r="C7" s="65"/>
      <c r="D7" s="65"/>
      <c r="E7" s="65"/>
    </row>
    <row r="8" spans="1:14" ht="15" customHeight="1">
      <c r="A8" s="11" t="s">
        <v>190</v>
      </c>
      <c r="B8">
        <v>0</v>
      </c>
      <c r="C8">
        <v>0</v>
      </c>
      <c r="D8">
        <v>0</v>
      </c>
      <c r="E8">
        <v>0</v>
      </c>
    </row>
    <row r="10" spans="1:14" ht="15" customHeight="1">
      <c r="A10" s="11" t="s">
        <v>191</v>
      </c>
    </row>
    <row r="12" spans="1:14" ht="54.75" customHeight="1">
      <c r="A12" s="72" t="s">
        <v>192</v>
      </c>
      <c r="B12" s="72"/>
      <c r="C12" s="72"/>
      <c r="D12" s="72"/>
      <c r="E12" s="72"/>
      <c r="F12" s="72"/>
      <c r="G12" s="72"/>
      <c r="H12" s="72"/>
      <c r="I12" s="72"/>
      <c r="J12" s="72"/>
      <c r="K12" s="72"/>
      <c r="L12" s="72"/>
      <c r="M12" s="72"/>
      <c r="N12" s="72"/>
    </row>
    <row r="13" spans="1:14">
      <c r="A13" s="72"/>
      <c r="B13" s="72"/>
      <c r="C13" s="72"/>
      <c r="D13" s="72"/>
      <c r="E13" s="72"/>
      <c r="F13" s="72"/>
      <c r="G13" s="72"/>
      <c r="H13" s="72"/>
      <c r="I13" s="72"/>
      <c r="J13" s="72"/>
      <c r="K13" s="72"/>
      <c r="L13" s="72"/>
      <c r="M13" s="72"/>
      <c r="N13" s="72"/>
    </row>
    <row r="14" spans="1:14">
      <c r="A14" s="72"/>
      <c r="B14" s="72"/>
      <c r="C14" s="72"/>
      <c r="D14" s="72"/>
      <c r="E14" s="72"/>
      <c r="F14" s="72"/>
      <c r="G14" s="72"/>
      <c r="H14" s="72"/>
      <c r="I14" s="72"/>
      <c r="J14" s="72"/>
      <c r="K14" s="72"/>
      <c r="L14" s="72"/>
      <c r="M14" s="72"/>
      <c r="N14" s="72"/>
    </row>
    <row r="18" spans="9:14" ht="15" customHeight="1">
      <c r="I18" s="66" t="s">
        <v>193</v>
      </c>
      <c r="J18" s="66"/>
      <c r="K18" s="66"/>
      <c r="L18" s="66"/>
      <c r="M18" s="66"/>
      <c r="N18" s="66"/>
    </row>
    <row r="19" spans="9:14">
      <c r="I19" s="66"/>
      <c r="J19" s="66"/>
      <c r="K19" s="66"/>
      <c r="L19" s="66"/>
      <c r="M19" s="66"/>
      <c r="N19" s="66"/>
    </row>
    <row r="37" spans="5:5" ht="15" customHeight="1">
      <c r="E37" s="31"/>
    </row>
  </sheetData>
  <mergeCells count="5">
    <mergeCell ref="A1:F1"/>
    <mergeCell ref="A2:F2"/>
    <mergeCell ref="A7:E7"/>
    <mergeCell ref="A12:N14"/>
    <mergeCell ref="I18:N19"/>
  </mergeCells>
  <hyperlinks>
    <hyperlink ref="G1" r:id="rId1" location="'ملخص%20عام'!A1" xr:uid="{00000000-0004-0000-0A00-000000000000}"/>
  </hyperlinks>
  <pageMargins left="0.75" right="0.75" top="1" bottom="1" header="0.511811023622047" footer="0.511811023622047"/>
  <pageSetup paperSize="9" orientation="portrait" horizontalDpi="300" verticalDpi="300"/>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7"/>
  <sheetViews>
    <sheetView rightToLeft="1" zoomScaleNormal="100" workbookViewId="0">
      <selection activeCell="A18" sqref="A18"/>
    </sheetView>
  </sheetViews>
  <sheetFormatPr defaultColWidth="8.7109375" defaultRowHeight="15"/>
  <cols>
    <col min="1" max="1" width="42" customWidth="1"/>
    <col min="2" max="5" width="14" customWidth="1"/>
  </cols>
  <sheetData>
    <row r="1" spans="1:14" ht="18" customHeight="1">
      <c r="A1" s="64" t="s">
        <v>194</v>
      </c>
      <c r="B1" s="64"/>
      <c r="C1" s="64"/>
      <c r="D1" s="64"/>
      <c r="E1" s="64"/>
      <c r="F1" s="64"/>
      <c r="G1" s="21" t="s">
        <v>86</v>
      </c>
    </row>
    <row r="2" spans="1:14" ht="15" customHeight="1">
      <c r="A2" s="65" t="s">
        <v>195</v>
      </c>
      <c r="B2" s="65"/>
      <c r="C2" s="65"/>
      <c r="D2" s="65"/>
      <c r="E2" s="65"/>
      <c r="F2" s="65"/>
      <c r="I2" s="71"/>
      <c r="J2" s="71"/>
      <c r="K2" s="71"/>
      <c r="L2" s="71"/>
      <c r="M2" s="71"/>
      <c r="N2" s="71"/>
    </row>
    <row r="3" spans="1:14">
      <c r="I3" s="71"/>
      <c r="J3" s="71"/>
      <c r="K3" s="71"/>
      <c r="L3" s="71"/>
      <c r="M3" s="71"/>
      <c r="N3" s="71"/>
    </row>
    <row r="4" spans="1:14" ht="15.75" customHeight="1">
      <c r="A4" s="2" t="s">
        <v>88</v>
      </c>
      <c r="B4" s="2" t="s">
        <v>89</v>
      </c>
      <c r="C4" s="2" t="s">
        <v>90</v>
      </c>
      <c r="D4" s="2" t="s">
        <v>91</v>
      </c>
      <c r="E4" s="2" t="s">
        <v>92</v>
      </c>
      <c r="I4" s="71"/>
      <c r="J4" s="71"/>
      <c r="K4" s="71"/>
      <c r="L4" s="71"/>
      <c r="M4" s="71"/>
      <c r="N4" s="71"/>
    </row>
    <row r="5" spans="1:14" ht="15" customHeight="1">
      <c r="A5" s="22" t="s">
        <v>196</v>
      </c>
      <c r="B5" s="23">
        <v>3933</v>
      </c>
      <c r="C5" s="23">
        <v>3327</v>
      </c>
      <c r="D5" s="23">
        <v>4504</v>
      </c>
      <c r="E5" s="23" t="s">
        <v>519</v>
      </c>
    </row>
    <row r="7" spans="1:14" ht="15" customHeight="1">
      <c r="A7" s="73" t="s">
        <v>197</v>
      </c>
      <c r="B7" s="73"/>
      <c r="C7" s="73"/>
      <c r="D7" s="73"/>
      <c r="E7" s="73"/>
    </row>
  </sheetData>
  <mergeCells count="4">
    <mergeCell ref="A1:F1"/>
    <mergeCell ref="A2:F2"/>
    <mergeCell ref="I2:N4"/>
    <mergeCell ref="A7:E7"/>
  </mergeCells>
  <hyperlinks>
    <hyperlink ref="G1" r:id="rId1" location="'ملخص%20عام'!A1" xr:uid="{00000000-0004-0000-0B00-000000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9"/>
  <sheetViews>
    <sheetView rightToLeft="1" zoomScaleNormal="100" workbookViewId="0">
      <selection sqref="A1:F1"/>
    </sheetView>
  </sheetViews>
  <sheetFormatPr defaultColWidth="8.7109375" defaultRowHeight="15"/>
  <cols>
    <col min="1" max="1" width="42" customWidth="1"/>
    <col min="2" max="5" width="14" customWidth="1"/>
  </cols>
  <sheetData>
    <row r="1" spans="1:7" ht="18" customHeight="1">
      <c r="A1" s="64" t="s">
        <v>198</v>
      </c>
      <c r="B1" s="64"/>
      <c r="C1" s="64"/>
      <c r="D1" s="64"/>
      <c r="E1" s="64"/>
      <c r="F1" s="64"/>
      <c r="G1" s="21" t="s">
        <v>86</v>
      </c>
    </row>
    <row r="2" spans="1:7" ht="15" customHeight="1">
      <c r="A2" s="65" t="s">
        <v>199</v>
      </c>
      <c r="B2" s="65"/>
      <c r="C2" s="65"/>
      <c r="D2" s="65"/>
      <c r="E2" s="65"/>
      <c r="F2" s="65"/>
    </row>
    <row r="4" spans="1:7" ht="15.75" customHeight="1">
      <c r="A4" s="2" t="s">
        <v>88</v>
      </c>
      <c r="B4" s="2" t="s">
        <v>89</v>
      </c>
      <c r="C4" s="2" t="s">
        <v>90</v>
      </c>
      <c r="D4" s="2" t="s">
        <v>91</v>
      </c>
      <c r="E4" s="2" t="s">
        <v>92</v>
      </c>
    </row>
    <row r="5" spans="1:7" ht="15" customHeight="1">
      <c r="A5" s="22" t="s">
        <v>200</v>
      </c>
      <c r="B5" s="3">
        <v>3933</v>
      </c>
      <c r="C5" s="3">
        <v>3327</v>
      </c>
      <c r="D5" s="3">
        <v>4504</v>
      </c>
      <c r="E5" s="3">
        <v>2177</v>
      </c>
    </row>
    <row r="7" spans="1:7" ht="15" customHeight="1">
      <c r="A7" s="74" t="s">
        <v>201</v>
      </c>
      <c r="B7" s="74"/>
      <c r="C7" s="74"/>
      <c r="D7" s="74"/>
      <c r="E7" s="74"/>
    </row>
    <row r="18" spans="9:14" ht="15" customHeight="1">
      <c r="I18" s="66" t="s">
        <v>202</v>
      </c>
      <c r="J18" s="66"/>
      <c r="K18" s="66"/>
      <c r="L18" s="66"/>
      <c r="M18" s="66"/>
      <c r="N18" s="66"/>
    </row>
    <row r="19" spans="9:14">
      <c r="I19" s="66"/>
      <c r="J19" s="66"/>
      <c r="K19" s="66"/>
      <c r="L19" s="66"/>
      <c r="M19" s="66"/>
      <c r="N19" s="66"/>
    </row>
  </sheetData>
  <mergeCells count="4">
    <mergeCell ref="A1:F1"/>
    <mergeCell ref="A2:F2"/>
    <mergeCell ref="A7:E7"/>
    <mergeCell ref="I18:N19"/>
  </mergeCells>
  <hyperlinks>
    <hyperlink ref="G1" r:id="rId1" location="'ملخص%20عام'!A1" xr:uid="{00000000-0004-0000-0C00-000000000000}"/>
  </hyperlinks>
  <pageMargins left="0.75" right="0.75" top="1" bottom="1" header="0.511811023622047" footer="0.511811023622047"/>
  <pageSetup paperSize="9" orientation="portrait" horizontalDpi="300" verticalDpi="30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9"/>
  <sheetViews>
    <sheetView rightToLeft="1" zoomScaleNormal="100" workbookViewId="0"/>
  </sheetViews>
  <sheetFormatPr defaultColWidth="8.7109375" defaultRowHeight="15"/>
  <cols>
    <col min="1" max="1" width="42" customWidth="1"/>
    <col min="2" max="5" width="14" customWidth="1"/>
  </cols>
  <sheetData>
    <row r="1" spans="1:7" ht="18" customHeight="1">
      <c r="A1" s="64" t="s">
        <v>203</v>
      </c>
      <c r="B1" s="64"/>
      <c r="C1" s="64"/>
      <c r="D1" s="64"/>
      <c r="E1" s="64"/>
      <c r="F1" s="64"/>
      <c r="G1" s="21" t="s">
        <v>86</v>
      </c>
    </row>
    <row r="2" spans="1:7" ht="15" customHeight="1">
      <c r="A2" s="65" t="s">
        <v>204</v>
      </c>
      <c r="B2" s="65"/>
      <c r="C2" s="65"/>
      <c r="D2" s="65"/>
      <c r="E2" s="65"/>
      <c r="F2" s="65"/>
    </row>
    <row r="4" spans="1:7" ht="15.75" customHeight="1">
      <c r="A4" s="2" t="s">
        <v>88</v>
      </c>
      <c r="B4" s="2" t="s">
        <v>89</v>
      </c>
      <c r="C4" s="2" t="s">
        <v>90</v>
      </c>
      <c r="D4" s="2" t="s">
        <v>91</v>
      </c>
      <c r="E4" s="2" t="s">
        <v>92</v>
      </c>
    </row>
    <row r="5" spans="1:7" ht="15" customHeight="1">
      <c r="A5" s="22" t="s">
        <v>205</v>
      </c>
      <c r="B5" s="3">
        <v>3269</v>
      </c>
      <c r="C5" s="3">
        <v>2836</v>
      </c>
      <c r="D5" s="3">
        <v>2542</v>
      </c>
      <c r="E5" s="3">
        <v>2082</v>
      </c>
    </row>
    <row r="6" spans="1:7" ht="15" customHeight="1">
      <c r="A6" s="33" t="s">
        <v>206</v>
      </c>
      <c r="B6" s="34">
        <f>B5/'12-الإقرارات الموزعة'!B5</f>
        <v>0.83117213323162975</v>
      </c>
      <c r="C6" s="34">
        <f>C5/'12-الإقرارات الموزعة'!C5</f>
        <v>0.85241959723474603</v>
      </c>
      <c r="D6" s="34">
        <f>D5/'12-الإقرارات الموزعة'!D5</f>
        <v>0.56438721136767322</v>
      </c>
      <c r="E6" s="34">
        <f>E5/'12-الإقرارات الموزعة'!E5</f>
        <v>0.95636196600826828</v>
      </c>
    </row>
    <row r="7" spans="1:7" ht="15" customHeight="1">
      <c r="A7" s="75"/>
      <c r="B7" s="75"/>
      <c r="C7" s="75"/>
      <c r="D7" s="75"/>
      <c r="E7" s="75"/>
    </row>
    <row r="8" spans="1:7" ht="21.75" customHeight="1">
      <c r="A8" s="32" t="s">
        <v>201</v>
      </c>
    </row>
    <row r="18" spans="9:14" ht="15" customHeight="1">
      <c r="I18" s="66" t="s">
        <v>207</v>
      </c>
      <c r="J18" s="66"/>
      <c r="K18" s="66"/>
      <c r="L18" s="66"/>
      <c r="M18" s="66"/>
      <c r="N18" s="66"/>
    </row>
    <row r="19" spans="9:14">
      <c r="I19" s="66"/>
      <c r="J19" s="66"/>
      <c r="K19" s="66"/>
      <c r="L19" s="66"/>
      <c r="M19" s="66"/>
      <c r="N19" s="66"/>
    </row>
  </sheetData>
  <mergeCells count="4">
    <mergeCell ref="A1:F1"/>
    <mergeCell ref="A2:F2"/>
    <mergeCell ref="A7:E7"/>
    <mergeCell ref="I18:N19"/>
  </mergeCells>
  <hyperlinks>
    <hyperlink ref="G1" r:id="rId1" location="'ملخص%20عام'!A1" xr:uid="{00000000-0004-0000-0D00-000000000000}"/>
  </hyperlinks>
  <pageMargins left="0.75" right="0.75" top="1" bottom="1" header="0.511811023622047" footer="0.511811023622047"/>
  <pageSetup paperSize="9" orientation="portrait" horizontalDpi="300" verticalDpi="30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rightToLeft="1" zoomScaleNormal="100" workbookViewId="0">
      <selection activeCell="A35" sqref="A35"/>
    </sheetView>
  </sheetViews>
  <sheetFormatPr defaultColWidth="8.7109375" defaultRowHeight="15"/>
  <cols>
    <col min="1" max="1" width="42" customWidth="1"/>
    <col min="2" max="5" width="14" customWidth="1"/>
  </cols>
  <sheetData>
    <row r="1" spans="1:7" ht="18" customHeight="1">
      <c r="A1" s="64" t="s">
        <v>208</v>
      </c>
      <c r="B1" s="64"/>
      <c r="C1" s="64"/>
      <c r="D1" s="64"/>
      <c r="E1" s="64"/>
      <c r="F1" s="64"/>
      <c r="G1" s="21" t="s">
        <v>86</v>
      </c>
    </row>
    <row r="2" spans="1:7" ht="15" customHeight="1">
      <c r="A2" s="65" t="s">
        <v>209</v>
      </c>
      <c r="B2" s="65"/>
      <c r="C2" s="65"/>
      <c r="D2" s="65"/>
      <c r="E2" s="65"/>
      <c r="F2" s="65"/>
    </row>
    <row r="4" spans="1:7" ht="15.75" customHeight="1">
      <c r="A4" s="22"/>
      <c r="B4" s="23"/>
      <c r="C4" s="3"/>
      <c r="D4" s="3"/>
      <c r="E4" s="23"/>
    </row>
    <row r="5" spans="1:7" ht="15" customHeight="1">
      <c r="A5" s="22"/>
      <c r="B5" s="23"/>
      <c r="C5" s="3"/>
      <c r="D5" s="3"/>
      <c r="E5" s="23"/>
    </row>
    <row r="6" spans="1:7" ht="15" customHeight="1">
      <c r="A6" s="8"/>
      <c r="B6" s="23"/>
      <c r="C6" s="3"/>
      <c r="D6" s="23"/>
      <c r="E6" s="23"/>
    </row>
    <row r="8" spans="1:7" ht="23.25" customHeight="1">
      <c r="A8" s="65"/>
      <c r="B8" s="65"/>
      <c r="C8" s="65"/>
      <c r="D8" s="65"/>
      <c r="E8" s="65"/>
    </row>
    <row r="10" spans="1:7" ht="15" customHeight="1">
      <c r="A10" s="73" t="s">
        <v>210</v>
      </c>
      <c r="B10" s="73"/>
      <c r="C10" s="73"/>
      <c r="D10" s="73"/>
      <c r="E10" s="73"/>
      <c r="F10" s="73"/>
    </row>
    <row r="12" spans="1:7" ht="15" customHeight="1">
      <c r="A12" s="77" t="s">
        <v>211</v>
      </c>
      <c r="B12" s="77"/>
      <c r="C12" s="77"/>
      <c r="D12" s="77"/>
      <c r="E12" s="77"/>
      <c r="F12" s="77"/>
    </row>
    <row r="13" spans="1:7" ht="15" customHeight="1">
      <c r="A13" s="36" t="s">
        <v>88</v>
      </c>
      <c r="B13" s="36" t="s">
        <v>89</v>
      </c>
      <c r="C13" s="36" t="s">
        <v>90</v>
      </c>
      <c r="D13" s="36" t="s">
        <v>91</v>
      </c>
      <c r="E13" s="36" t="s">
        <v>92</v>
      </c>
    </row>
    <row r="14" spans="1:7" ht="15" customHeight="1">
      <c r="A14" s="33" t="s">
        <v>212</v>
      </c>
      <c r="B14" s="15">
        <v>48</v>
      </c>
      <c r="C14" s="15">
        <v>36</v>
      </c>
      <c r="D14" s="15">
        <v>4</v>
      </c>
      <c r="E14" s="15">
        <v>92</v>
      </c>
    </row>
    <row r="15" spans="1:7" ht="15" customHeight="1">
      <c r="A15" s="33" t="s">
        <v>213</v>
      </c>
      <c r="B15" s="15">
        <v>30</v>
      </c>
      <c r="C15" s="15">
        <v>21</v>
      </c>
      <c r="D15" s="15">
        <v>3</v>
      </c>
      <c r="E15" s="15">
        <v>49</v>
      </c>
    </row>
    <row r="16" spans="1:7" ht="15" customHeight="1">
      <c r="A16" s="33" t="s">
        <v>214</v>
      </c>
      <c r="B16" s="15">
        <v>28</v>
      </c>
      <c r="C16" s="15">
        <v>17</v>
      </c>
      <c r="D16" s="15">
        <v>2</v>
      </c>
      <c r="E16" s="15">
        <v>72</v>
      </c>
    </row>
    <row r="17" spans="1:14" ht="15" customHeight="1">
      <c r="A17" s="33" t="s">
        <v>215</v>
      </c>
      <c r="B17" s="15">
        <v>20</v>
      </c>
      <c r="C17" s="15">
        <v>19</v>
      </c>
      <c r="D17" s="15">
        <v>2</v>
      </c>
      <c r="E17" s="15">
        <v>14</v>
      </c>
    </row>
    <row r="18" spans="1:14" ht="15" customHeight="1">
      <c r="A18" s="33" t="s">
        <v>216</v>
      </c>
      <c r="B18" s="15" t="s">
        <v>217</v>
      </c>
      <c r="C18" s="15" t="s">
        <v>217</v>
      </c>
      <c r="D18" s="15" t="s">
        <v>217</v>
      </c>
      <c r="E18" s="15">
        <v>6</v>
      </c>
      <c r="I18" s="66" t="s">
        <v>218</v>
      </c>
      <c r="J18" s="66"/>
      <c r="K18" s="66"/>
      <c r="L18" s="66"/>
      <c r="M18" s="66"/>
      <c r="N18" s="66"/>
    </row>
    <row r="19" spans="1:14" ht="15" customHeight="1">
      <c r="A19" s="33" t="s">
        <v>219</v>
      </c>
      <c r="B19" s="15">
        <v>24</v>
      </c>
      <c r="C19" s="15">
        <v>19</v>
      </c>
      <c r="D19" s="15">
        <v>3</v>
      </c>
      <c r="E19" s="15">
        <v>39</v>
      </c>
      <c r="I19" s="66"/>
      <c r="J19" s="66"/>
      <c r="K19" s="66"/>
      <c r="L19" s="66"/>
      <c r="M19" s="66"/>
      <c r="N19" s="66"/>
    </row>
    <row r="20" spans="1:14" ht="15" customHeight="1">
      <c r="A20" s="33" t="s">
        <v>220</v>
      </c>
      <c r="B20" s="15">
        <v>6</v>
      </c>
      <c r="C20" s="15">
        <v>2</v>
      </c>
      <c r="D20" s="15">
        <v>0</v>
      </c>
      <c r="E20" s="15">
        <v>10</v>
      </c>
    </row>
    <row r="22" spans="1:14" ht="15" customHeight="1">
      <c r="A22" s="76" t="s">
        <v>201</v>
      </c>
      <c r="B22" s="76"/>
      <c r="C22" s="76"/>
      <c r="D22" s="76"/>
      <c r="E22" s="76"/>
      <c r="F22" s="76"/>
    </row>
    <row r="35" spans="9:14" ht="15" customHeight="1">
      <c r="I35" s="66" t="s">
        <v>221</v>
      </c>
      <c r="J35" s="66"/>
      <c r="K35" s="66"/>
      <c r="L35" s="66"/>
      <c r="M35" s="66"/>
      <c r="N35" s="66"/>
    </row>
    <row r="36" spans="9:14">
      <c r="I36" s="66"/>
      <c r="J36" s="66"/>
      <c r="K36" s="66"/>
      <c r="L36" s="66"/>
      <c r="M36" s="66"/>
      <c r="N36" s="66"/>
    </row>
  </sheetData>
  <mergeCells count="8">
    <mergeCell ref="I18:N19"/>
    <mergeCell ref="A22:F22"/>
    <mergeCell ref="I35:N36"/>
    <mergeCell ref="A1:F1"/>
    <mergeCell ref="A2:F2"/>
    <mergeCell ref="A8:E8"/>
    <mergeCell ref="A10:F10"/>
    <mergeCell ref="A12:F12"/>
  </mergeCells>
  <hyperlinks>
    <hyperlink ref="G1" r:id="rId1" location="'ملخص%20عام'!A1" xr:uid="{00000000-0004-0000-0E00-000000000000}"/>
  </hyperlinks>
  <pageMargins left="0.75" right="0.75" top="1" bottom="1" header="0.511811023622047" footer="0.511811023622047"/>
  <pageSetup paperSize="9" orientation="portrait" horizontalDpi="300" verticalDpi="300"/>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9"/>
  <sheetViews>
    <sheetView rightToLeft="1" zoomScaleNormal="100" workbookViewId="0">
      <selection activeCell="D4" sqref="D4"/>
    </sheetView>
  </sheetViews>
  <sheetFormatPr defaultColWidth="8.7109375" defaultRowHeight="15"/>
  <cols>
    <col min="1" max="1" width="42" customWidth="1"/>
    <col min="2" max="5" width="14" customWidth="1"/>
  </cols>
  <sheetData>
    <row r="1" spans="1:14" ht="18" customHeight="1">
      <c r="A1" s="78" t="s">
        <v>222</v>
      </c>
      <c r="B1" s="78"/>
      <c r="C1" s="78"/>
      <c r="D1" s="78"/>
      <c r="E1" s="78"/>
      <c r="F1" s="78"/>
      <c r="G1" s="21" t="s">
        <v>86</v>
      </c>
    </row>
    <row r="2" spans="1:14" ht="15" customHeight="1">
      <c r="A2" s="70" t="s">
        <v>223</v>
      </c>
      <c r="B2" s="70"/>
      <c r="C2" s="70"/>
      <c r="D2" s="70"/>
      <c r="E2" s="70"/>
      <c r="F2" s="70"/>
    </row>
    <row r="4" spans="1:14" ht="15.75" customHeight="1">
      <c r="A4" s="38" t="s">
        <v>88</v>
      </c>
      <c r="B4" s="38" t="s">
        <v>89</v>
      </c>
      <c r="C4" s="38" t="s">
        <v>90</v>
      </c>
      <c r="D4" s="39">
        <v>24</v>
      </c>
      <c r="E4" s="38" t="s">
        <v>92</v>
      </c>
    </row>
    <row r="5" spans="1:14" ht="15" customHeight="1">
      <c r="A5" s="40" t="s">
        <v>224</v>
      </c>
      <c r="B5" s="12">
        <v>21</v>
      </c>
      <c r="C5" s="12">
        <v>12</v>
      </c>
      <c r="D5" s="12">
        <v>26</v>
      </c>
      <c r="E5" s="12">
        <v>22</v>
      </c>
    </row>
    <row r="6" spans="1:14" ht="15" customHeight="1">
      <c r="A6" s="40" t="s">
        <v>225</v>
      </c>
      <c r="B6" s="41">
        <v>32</v>
      </c>
      <c r="C6" s="41">
        <v>15</v>
      </c>
      <c r="D6" s="41">
        <v>26</v>
      </c>
      <c r="E6" s="41">
        <v>28</v>
      </c>
    </row>
    <row r="7" spans="1:14" ht="15" customHeight="1">
      <c r="A7" s="79" t="s">
        <v>226</v>
      </c>
      <c r="B7" s="79"/>
      <c r="C7" s="79"/>
      <c r="D7" s="79"/>
      <c r="E7" s="79"/>
    </row>
    <row r="9" spans="1:14" ht="34.5" customHeight="1">
      <c r="A9" s="70" t="s">
        <v>227</v>
      </c>
      <c r="B9" s="70"/>
      <c r="C9" s="70"/>
      <c r="D9" s="70"/>
      <c r="E9" s="70"/>
    </row>
    <row r="12" spans="1:14" ht="79.5" customHeight="1">
      <c r="A12" s="72" t="s">
        <v>228</v>
      </c>
      <c r="B12" s="72"/>
      <c r="C12" s="72"/>
      <c r="D12" s="72"/>
      <c r="E12" s="72"/>
      <c r="F12" s="72"/>
      <c r="G12" s="72"/>
      <c r="H12" s="72"/>
      <c r="I12" s="72"/>
      <c r="J12" s="72"/>
      <c r="K12" s="72"/>
      <c r="L12" s="72"/>
      <c r="M12" s="72"/>
      <c r="N12" s="72"/>
    </row>
    <row r="13" spans="1:14">
      <c r="A13" s="72"/>
      <c r="B13" s="72"/>
      <c r="C13" s="72"/>
      <c r="D13" s="72"/>
      <c r="E13" s="72"/>
      <c r="F13" s="72"/>
      <c r="G13" s="72"/>
      <c r="H13" s="72"/>
      <c r="I13" s="72"/>
      <c r="J13" s="72"/>
      <c r="K13" s="72"/>
      <c r="L13" s="72"/>
      <c r="M13" s="72"/>
      <c r="N13" s="72"/>
    </row>
    <row r="14" spans="1:14">
      <c r="A14" s="72"/>
      <c r="B14" s="72"/>
      <c r="C14" s="72"/>
      <c r="D14" s="72"/>
      <c r="E14" s="72"/>
      <c r="F14" s="72"/>
      <c r="G14" s="72"/>
      <c r="H14" s="72"/>
      <c r="I14" s="72"/>
      <c r="J14" s="72"/>
      <c r="K14" s="72"/>
      <c r="L14" s="72"/>
      <c r="M14" s="72"/>
      <c r="N14" s="72"/>
    </row>
    <row r="15" spans="1:14">
      <c r="A15" s="72"/>
      <c r="B15" s="72"/>
      <c r="C15" s="72"/>
      <c r="D15" s="72"/>
      <c r="E15" s="72"/>
      <c r="F15" s="72"/>
      <c r="G15" s="72"/>
      <c r="H15" s="72"/>
      <c r="I15" s="72"/>
      <c r="J15" s="72"/>
      <c r="K15" s="72"/>
      <c r="L15" s="72"/>
      <c r="M15" s="72"/>
      <c r="N15" s="72"/>
    </row>
    <row r="18" spans="9:14" ht="15" customHeight="1">
      <c r="I18" s="66" t="s">
        <v>229</v>
      </c>
      <c r="J18" s="66"/>
      <c r="K18" s="66"/>
      <c r="L18" s="66"/>
      <c r="M18" s="66"/>
      <c r="N18" s="66"/>
    </row>
    <row r="19" spans="9:14">
      <c r="I19" s="66"/>
      <c r="J19" s="66"/>
      <c r="K19" s="66"/>
      <c r="L19" s="66"/>
      <c r="M19" s="66"/>
      <c r="N19" s="66"/>
    </row>
  </sheetData>
  <mergeCells count="6">
    <mergeCell ref="I18:N19"/>
    <mergeCell ref="A1:F1"/>
    <mergeCell ref="A2:F2"/>
    <mergeCell ref="A7:E7"/>
    <mergeCell ref="A9:E9"/>
    <mergeCell ref="A12:N15"/>
  </mergeCells>
  <hyperlinks>
    <hyperlink ref="G1" r:id="rId1" location="'ملخص%20عام'!A1" xr:uid="{00000000-0004-0000-0F00-000000000000}"/>
  </hyperlinks>
  <pageMargins left="0.75" right="0.75" top="1" bottom="1" header="0.511811023622047" footer="0.511811023622047"/>
  <pageSetup paperSize="9" orientation="portrait" horizontalDpi="300" verticalDpi="300"/>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4"/>
  <sheetViews>
    <sheetView rightToLeft="1" zoomScaleNormal="100" workbookViewId="0">
      <selection activeCell="G16" sqref="G16"/>
    </sheetView>
  </sheetViews>
  <sheetFormatPr defaultColWidth="8.7109375" defaultRowHeight="15"/>
  <cols>
    <col min="1" max="1" width="10" customWidth="1"/>
    <col min="2" max="2" width="12" customWidth="1"/>
    <col min="3" max="5" width="16" customWidth="1"/>
    <col min="6" max="6" width="12" customWidth="1"/>
  </cols>
  <sheetData>
    <row r="1" spans="1:6" ht="17.25" customHeight="1">
      <c r="A1" s="78" t="s">
        <v>230</v>
      </c>
      <c r="B1" s="78"/>
      <c r="C1" s="78"/>
      <c r="D1" s="78"/>
      <c r="E1" s="78"/>
      <c r="F1" s="78"/>
    </row>
    <row r="2" spans="1:6" ht="15" customHeight="1">
      <c r="A2" s="70" t="s">
        <v>231</v>
      </c>
      <c r="B2" s="70"/>
      <c r="C2" s="70"/>
      <c r="D2" s="70"/>
      <c r="E2" s="70"/>
      <c r="F2" s="70"/>
    </row>
    <row r="4" spans="1:6" ht="15.75" customHeight="1">
      <c r="A4" s="38" t="s">
        <v>232</v>
      </c>
      <c r="B4" s="38" t="s">
        <v>233</v>
      </c>
      <c r="C4" s="38" t="s">
        <v>234</v>
      </c>
      <c r="D4" s="38" t="s">
        <v>235</v>
      </c>
      <c r="E4" s="38" t="s">
        <v>236</v>
      </c>
      <c r="F4" s="38" t="s">
        <v>119</v>
      </c>
    </row>
    <row r="5" spans="1:6" ht="15" customHeight="1">
      <c r="A5" s="80">
        <v>2022</v>
      </c>
      <c r="B5" s="12" t="s">
        <v>237</v>
      </c>
      <c r="C5" s="12">
        <v>2</v>
      </c>
      <c r="D5" s="12">
        <v>1</v>
      </c>
      <c r="E5" s="12">
        <v>0</v>
      </c>
      <c r="F5" s="12">
        <v>3</v>
      </c>
    </row>
    <row r="6" spans="1:6" ht="15" customHeight="1">
      <c r="A6" s="80"/>
      <c r="B6" s="12" t="s">
        <v>238</v>
      </c>
      <c r="C6" s="12">
        <v>24</v>
      </c>
      <c r="D6" s="12">
        <v>1</v>
      </c>
      <c r="E6" s="12">
        <v>4</v>
      </c>
      <c r="F6" s="12">
        <v>29</v>
      </c>
    </row>
    <row r="7" spans="1:6" ht="15" customHeight="1">
      <c r="A7" s="80"/>
      <c r="B7" s="42" t="s">
        <v>239</v>
      </c>
      <c r="C7" s="42">
        <v>26</v>
      </c>
      <c r="D7" s="42">
        <v>2</v>
      </c>
      <c r="E7" s="42">
        <v>4</v>
      </c>
      <c r="F7" s="42">
        <v>32</v>
      </c>
    </row>
    <row r="8" spans="1:6" ht="15" customHeight="1">
      <c r="A8" s="80">
        <v>2023</v>
      </c>
      <c r="B8" s="12" t="s">
        <v>237</v>
      </c>
      <c r="C8" s="12">
        <v>0</v>
      </c>
      <c r="D8" s="12">
        <v>0</v>
      </c>
      <c r="E8" s="12">
        <v>0</v>
      </c>
      <c r="F8" s="12">
        <v>0</v>
      </c>
    </row>
    <row r="9" spans="1:6" ht="15" customHeight="1">
      <c r="A9" s="80"/>
      <c r="B9" s="12" t="s">
        <v>238</v>
      </c>
      <c r="C9" s="12">
        <v>8</v>
      </c>
      <c r="D9" s="12">
        <v>8</v>
      </c>
      <c r="E9" s="12">
        <v>6</v>
      </c>
      <c r="F9" s="12">
        <v>22</v>
      </c>
    </row>
    <row r="10" spans="1:6" ht="15" customHeight="1">
      <c r="A10" s="80"/>
      <c r="B10" s="42" t="s">
        <v>239</v>
      </c>
      <c r="C10" s="42">
        <v>8</v>
      </c>
      <c r="D10" s="42">
        <v>8</v>
      </c>
      <c r="E10" s="42">
        <v>6</v>
      </c>
      <c r="F10" s="42">
        <v>22</v>
      </c>
    </row>
    <row r="11" spans="1:6" ht="15" customHeight="1">
      <c r="A11" s="80">
        <v>2024</v>
      </c>
      <c r="B11" s="12" t="s">
        <v>237</v>
      </c>
      <c r="C11" s="12">
        <v>2</v>
      </c>
      <c r="D11" s="12">
        <v>0</v>
      </c>
      <c r="E11" s="12">
        <v>0</v>
      </c>
      <c r="F11" s="12">
        <v>0</v>
      </c>
    </row>
    <row r="12" spans="1:6" ht="15" customHeight="1">
      <c r="A12" s="80"/>
      <c r="B12" s="12" t="s">
        <v>238</v>
      </c>
      <c r="C12" s="12">
        <v>13</v>
      </c>
      <c r="D12" s="12">
        <v>8</v>
      </c>
      <c r="E12" s="12">
        <v>3</v>
      </c>
      <c r="F12" s="12">
        <v>26</v>
      </c>
    </row>
    <row r="13" spans="1:6" ht="15" customHeight="1">
      <c r="A13" s="80"/>
      <c r="B13" s="42" t="s">
        <v>239</v>
      </c>
      <c r="C13" s="42">
        <v>15</v>
      </c>
      <c r="D13" s="42">
        <v>8</v>
      </c>
      <c r="E13" s="42">
        <v>3</v>
      </c>
      <c r="F13" s="42">
        <v>26</v>
      </c>
    </row>
    <row r="14" spans="1:6" ht="15" customHeight="1">
      <c r="A14" s="80">
        <v>2025</v>
      </c>
      <c r="B14" s="12" t="s">
        <v>237</v>
      </c>
      <c r="C14" s="12">
        <v>3</v>
      </c>
      <c r="D14" s="12">
        <v>0</v>
      </c>
      <c r="E14" s="12">
        <v>0</v>
      </c>
      <c r="F14" s="12">
        <v>3</v>
      </c>
    </row>
    <row r="15" spans="1:6" ht="15" customHeight="1">
      <c r="A15" s="80"/>
      <c r="B15" s="12" t="s">
        <v>238</v>
      </c>
      <c r="C15" s="12">
        <v>14</v>
      </c>
      <c r="D15" s="12">
        <v>9</v>
      </c>
      <c r="E15" s="12">
        <v>7</v>
      </c>
      <c r="F15" s="12">
        <v>30</v>
      </c>
    </row>
    <row r="16" spans="1:6" ht="15" customHeight="1">
      <c r="A16" s="80"/>
      <c r="B16" s="42" t="s">
        <v>119</v>
      </c>
      <c r="C16" s="42">
        <v>17</v>
      </c>
      <c r="D16" s="42">
        <v>9</v>
      </c>
      <c r="E16" s="42">
        <v>7</v>
      </c>
      <c r="F16" s="42">
        <v>33</v>
      </c>
    </row>
    <row r="18" spans="1:14" ht="23.25" customHeight="1">
      <c r="A18" s="70" t="s">
        <v>240</v>
      </c>
      <c r="B18" s="70"/>
      <c r="C18" s="70"/>
      <c r="D18" s="70"/>
      <c r="E18" s="70"/>
      <c r="F18" s="70"/>
      <c r="I18" s="66" t="s">
        <v>241</v>
      </c>
      <c r="J18" s="66"/>
      <c r="K18" s="66"/>
      <c r="L18" s="66"/>
      <c r="M18" s="66"/>
      <c r="N18" s="66"/>
    </row>
    <row r="19" spans="1:14">
      <c r="I19" s="66"/>
      <c r="J19" s="66"/>
      <c r="K19" s="66"/>
      <c r="L19" s="66"/>
      <c r="M19" s="66"/>
      <c r="N19" s="66"/>
    </row>
    <row r="20" spans="1:14">
      <c r="A20" s="43" t="s">
        <v>242</v>
      </c>
      <c r="B20" s="43" t="s">
        <v>243</v>
      </c>
      <c r="C20" s="43" t="s">
        <v>244</v>
      </c>
      <c r="D20" s="43" t="s">
        <v>245</v>
      </c>
    </row>
    <row r="21" spans="1:14">
      <c r="A21">
        <v>2022</v>
      </c>
      <c r="B21">
        <f>C5</f>
        <v>2</v>
      </c>
      <c r="C21">
        <f>D5</f>
        <v>1</v>
      </c>
      <c r="D21">
        <f>E5</f>
        <v>0</v>
      </c>
    </row>
    <row r="22" spans="1:14">
      <c r="A22">
        <v>2023</v>
      </c>
      <c r="B22">
        <f>C8</f>
        <v>0</v>
      </c>
      <c r="C22">
        <f>D8</f>
        <v>0</v>
      </c>
      <c r="D22">
        <f>E8</f>
        <v>0</v>
      </c>
    </row>
    <row r="23" spans="1:14">
      <c r="A23">
        <v>2024</v>
      </c>
      <c r="B23">
        <f>C11</f>
        <v>2</v>
      </c>
      <c r="C23">
        <f>D11</f>
        <v>0</v>
      </c>
      <c r="D23">
        <f>E11</f>
        <v>0</v>
      </c>
    </row>
    <row r="24" spans="1:14">
      <c r="A24">
        <v>2025</v>
      </c>
      <c r="B24">
        <f>C14</f>
        <v>3</v>
      </c>
      <c r="C24">
        <f>D14</f>
        <v>0</v>
      </c>
      <c r="D24">
        <f>E14</f>
        <v>0</v>
      </c>
    </row>
  </sheetData>
  <mergeCells count="8">
    <mergeCell ref="A14:A16"/>
    <mergeCell ref="A18:F18"/>
    <mergeCell ref="I18:N19"/>
    <mergeCell ref="A1:F1"/>
    <mergeCell ref="A2:F2"/>
    <mergeCell ref="A5:A7"/>
    <mergeCell ref="A8:A10"/>
    <mergeCell ref="A11:A13"/>
  </mergeCell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9"/>
  <sheetViews>
    <sheetView rightToLeft="1" zoomScaleNormal="100" workbookViewId="0">
      <selection activeCell="C6" sqref="C6"/>
    </sheetView>
  </sheetViews>
  <sheetFormatPr defaultColWidth="8.7109375" defaultRowHeight="15"/>
  <cols>
    <col min="1" max="1" width="30" customWidth="1"/>
    <col min="2" max="5" width="12" customWidth="1"/>
  </cols>
  <sheetData>
    <row r="1" spans="1:6" ht="17.25" customHeight="1">
      <c r="A1" s="78" t="s">
        <v>246</v>
      </c>
      <c r="B1" s="78"/>
      <c r="C1" s="78"/>
      <c r="D1" s="78"/>
      <c r="E1" s="78"/>
      <c r="F1" s="78"/>
    </row>
    <row r="2" spans="1:6" ht="15" customHeight="1">
      <c r="A2" s="70" t="s">
        <v>247</v>
      </c>
      <c r="B2" s="70"/>
      <c r="C2" s="70"/>
      <c r="D2" s="70"/>
      <c r="E2" s="70"/>
      <c r="F2" s="70"/>
    </row>
    <row r="4" spans="1:6" ht="15.75" customHeight="1">
      <c r="A4" s="38" t="s">
        <v>248</v>
      </c>
      <c r="B4" s="38" t="s">
        <v>89</v>
      </c>
      <c r="C4" s="38" t="s">
        <v>90</v>
      </c>
      <c r="D4" s="38" t="s">
        <v>91</v>
      </c>
      <c r="E4" s="38" t="s">
        <v>92</v>
      </c>
    </row>
    <row r="5" spans="1:6" ht="15" customHeight="1">
      <c r="A5" s="14" t="s">
        <v>249</v>
      </c>
      <c r="B5" s="12" t="s">
        <v>6</v>
      </c>
      <c r="C5" s="12">
        <v>5</v>
      </c>
      <c r="D5" s="12" t="s">
        <v>6</v>
      </c>
      <c r="E5" s="12" t="s">
        <v>6</v>
      </c>
    </row>
    <row r="6" spans="1:6" ht="15" customHeight="1">
      <c r="A6" s="14" t="s">
        <v>250</v>
      </c>
      <c r="B6" s="12" t="s">
        <v>6</v>
      </c>
      <c r="C6" s="12">
        <v>0</v>
      </c>
      <c r="D6" s="12" t="s">
        <v>6</v>
      </c>
      <c r="E6" s="12" t="s">
        <v>6</v>
      </c>
    </row>
    <row r="7" spans="1:6" ht="15" customHeight="1">
      <c r="A7" s="14" t="s">
        <v>107</v>
      </c>
      <c r="B7" s="12" t="s">
        <v>6</v>
      </c>
      <c r="C7" s="12">
        <v>0</v>
      </c>
      <c r="D7" s="12" t="s">
        <v>6</v>
      </c>
      <c r="E7" s="12" t="s">
        <v>6</v>
      </c>
    </row>
    <row r="8" spans="1:6" ht="15" customHeight="1">
      <c r="A8" s="14" t="s">
        <v>106</v>
      </c>
      <c r="B8" s="12" t="s">
        <v>6</v>
      </c>
      <c r="C8" s="12">
        <v>5</v>
      </c>
      <c r="D8" s="12" t="s">
        <v>6</v>
      </c>
      <c r="E8" s="12" t="s">
        <v>6</v>
      </c>
    </row>
    <row r="9" spans="1:6" ht="15" customHeight="1">
      <c r="A9" s="14" t="s">
        <v>251</v>
      </c>
      <c r="B9" s="12" t="s">
        <v>6</v>
      </c>
      <c r="C9" s="12">
        <v>0</v>
      </c>
      <c r="D9" s="12" t="s">
        <v>6</v>
      </c>
      <c r="E9" s="12" t="s">
        <v>6</v>
      </c>
    </row>
    <row r="10" spans="1:6" ht="15" customHeight="1">
      <c r="A10" s="14" t="s">
        <v>252</v>
      </c>
      <c r="B10" s="12" t="s">
        <v>6</v>
      </c>
      <c r="C10" s="12">
        <v>3</v>
      </c>
      <c r="D10" s="12" t="s">
        <v>6</v>
      </c>
      <c r="E10" s="12" t="s">
        <v>6</v>
      </c>
    </row>
    <row r="11" spans="1:6" ht="15" customHeight="1">
      <c r="A11" s="14" t="s">
        <v>253</v>
      </c>
      <c r="B11" s="12" t="s">
        <v>6</v>
      </c>
      <c r="C11" s="12">
        <v>1</v>
      </c>
      <c r="D11" s="12" t="s">
        <v>6</v>
      </c>
      <c r="E11" s="12" t="s">
        <v>6</v>
      </c>
    </row>
    <row r="12" spans="1:6" ht="15" customHeight="1">
      <c r="A12" s="14" t="s">
        <v>254</v>
      </c>
      <c r="B12" s="12" t="s">
        <v>6</v>
      </c>
      <c r="C12" s="12">
        <v>0</v>
      </c>
      <c r="D12" s="12" t="s">
        <v>6</v>
      </c>
      <c r="E12" s="12" t="s">
        <v>6</v>
      </c>
    </row>
    <row r="13" spans="1:6" ht="15" customHeight="1">
      <c r="A13" s="40" t="s">
        <v>119</v>
      </c>
      <c r="B13" s="12" t="s">
        <v>6</v>
      </c>
      <c r="C13" s="12">
        <v>14</v>
      </c>
      <c r="D13" s="12" t="s">
        <v>6</v>
      </c>
      <c r="E13" s="12" t="s">
        <v>6</v>
      </c>
    </row>
    <row r="15" spans="1:6" ht="15" customHeight="1">
      <c r="A15" s="70" t="s">
        <v>255</v>
      </c>
      <c r="B15" s="70"/>
      <c r="C15" s="70"/>
      <c r="D15" s="70"/>
      <c r="E15" s="70"/>
    </row>
    <row r="18" spans="9:14" ht="15" customHeight="1">
      <c r="I18" s="66" t="s">
        <v>256</v>
      </c>
      <c r="J18" s="66"/>
      <c r="K18" s="66"/>
      <c r="L18" s="66"/>
      <c r="M18" s="66"/>
      <c r="N18" s="66"/>
    </row>
    <row r="19" spans="9:14">
      <c r="I19" s="66"/>
      <c r="J19" s="66"/>
      <c r="K19" s="66"/>
      <c r="L19" s="66"/>
      <c r="M19" s="66"/>
      <c r="N19" s="66"/>
    </row>
  </sheetData>
  <mergeCells count="4">
    <mergeCell ref="A1:F1"/>
    <mergeCell ref="A2:F2"/>
    <mergeCell ref="A15:E15"/>
    <mergeCell ref="I18:N19"/>
  </mergeCells>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9"/>
  <sheetViews>
    <sheetView rightToLeft="1" zoomScaleNormal="100" workbookViewId="0">
      <selection activeCell="D12" sqref="D12"/>
    </sheetView>
  </sheetViews>
  <sheetFormatPr defaultColWidth="8.7109375" defaultRowHeight="15"/>
  <cols>
    <col min="1" max="1" width="42" customWidth="1"/>
    <col min="2" max="5" width="14" customWidth="1"/>
  </cols>
  <sheetData>
    <row r="1" spans="1:7" ht="18" customHeight="1">
      <c r="A1" s="78" t="s">
        <v>257</v>
      </c>
      <c r="B1" s="78"/>
      <c r="C1" s="78"/>
      <c r="D1" s="78"/>
      <c r="E1" s="78"/>
      <c r="F1" s="78"/>
      <c r="G1" s="21" t="s">
        <v>86</v>
      </c>
    </row>
    <row r="2" spans="1:7" ht="15" customHeight="1">
      <c r="A2" s="70" t="s">
        <v>258</v>
      </c>
      <c r="B2" s="70"/>
      <c r="C2" s="70"/>
      <c r="D2" s="70"/>
      <c r="E2" s="70"/>
      <c r="F2" s="70"/>
    </row>
    <row r="4" spans="1:7" ht="15.75" customHeight="1">
      <c r="A4" s="38" t="s">
        <v>88</v>
      </c>
      <c r="B4" s="38" t="s">
        <v>89</v>
      </c>
      <c r="C4" s="38" t="s">
        <v>90</v>
      </c>
      <c r="D4" s="38" t="s">
        <v>91</v>
      </c>
      <c r="E4" s="38" t="s">
        <v>92</v>
      </c>
    </row>
    <row r="5" spans="1:7" ht="15" customHeight="1">
      <c r="A5" s="40" t="s">
        <v>259</v>
      </c>
      <c r="B5" s="12">
        <v>4</v>
      </c>
      <c r="C5" s="12">
        <v>0</v>
      </c>
      <c r="D5" s="12">
        <v>2</v>
      </c>
      <c r="E5" s="12">
        <v>1</v>
      </c>
    </row>
    <row r="6" spans="1:7" ht="15" customHeight="1">
      <c r="A6" s="40" t="s">
        <v>260</v>
      </c>
      <c r="B6" s="12">
        <v>1</v>
      </c>
      <c r="C6" s="12" t="s">
        <v>217</v>
      </c>
      <c r="D6" s="12">
        <v>0</v>
      </c>
      <c r="E6" s="12">
        <v>0</v>
      </c>
    </row>
    <row r="7" spans="1:7" ht="15" customHeight="1">
      <c r="A7" s="44" t="s">
        <v>261</v>
      </c>
      <c r="B7" s="45">
        <v>3</v>
      </c>
      <c r="C7" s="45">
        <v>0</v>
      </c>
      <c r="D7" s="45">
        <v>2</v>
      </c>
      <c r="E7" s="45">
        <v>1</v>
      </c>
    </row>
    <row r="9" spans="1:7" ht="23.25" customHeight="1">
      <c r="A9" s="70" t="s">
        <v>262</v>
      </c>
      <c r="B9" s="70"/>
      <c r="C9" s="70"/>
      <c r="D9" s="70"/>
      <c r="E9" s="70"/>
    </row>
    <row r="18" spans="9:14" ht="15" customHeight="1">
      <c r="I18" s="66" t="s">
        <v>263</v>
      </c>
      <c r="J18" s="66"/>
      <c r="K18" s="66"/>
      <c r="L18" s="66"/>
      <c r="M18" s="66"/>
      <c r="N18" s="66"/>
    </row>
    <row r="19" spans="9:14">
      <c r="I19" s="66"/>
      <c r="J19" s="66"/>
      <c r="K19" s="66"/>
      <c r="L19" s="66"/>
      <c r="M19" s="66"/>
      <c r="N19" s="66"/>
    </row>
  </sheetData>
  <mergeCells count="4">
    <mergeCell ref="A1:F1"/>
    <mergeCell ref="A2:F2"/>
    <mergeCell ref="A9:E9"/>
    <mergeCell ref="I18:N19"/>
  </mergeCells>
  <hyperlinks>
    <hyperlink ref="G1" r:id="rId1" location="'ملخص%20عام'!A1" xr:uid="{00000000-0004-0000-1200-000000000000}"/>
  </hyperlinks>
  <pageMargins left="0.75" right="0.75" top="1" bottom="1" header="0.511811023622047" footer="0.511811023622047"/>
  <pageSetup paperSize="9" orientation="portrait" horizontalDpi="300" verticalDpi="30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6"/>
  <sheetViews>
    <sheetView rightToLeft="1" zoomScaleNormal="100" workbookViewId="0">
      <selection activeCell="A13" sqref="A13:N16"/>
    </sheetView>
  </sheetViews>
  <sheetFormatPr defaultColWidth="8.7109375" defaultRowHeight="15"/>
  <cols>
    <col min="1" max="1" width="42" customWidth="1"/>
    <col min="2" max="5" width="14" customWidth="1"/>
  </cols>
  <sheetData>
    <row r="1" spans="1:14" ht="18" customHeight="1">
      <c r="A1" s="64" t="s">
        <v>264</v>
      </c>
      <c r="B1" s="64"/>
      <c r="C1" s="64"/>
      <c r="D1" s="64"/>
      <c r="E1" s="64"/>
      <c r="F1" s="64"/>
      <c r="G1" s="21" t="s">
        <v>86</v>
      </c>
    </row>
    <row r="2" spans="1:14" ht="15" customHeight="1">
      <c r="A2" s="65" t="s">
        <v>265</v>
      </c>
      <c r="B2" s="65"/>
      <c r="C2" s="65"/>
      <c r="D2" s="65"/>
      <c r="E2" s="65"/>
      <c r="F2" s="65"/>
      <c r="I2" s="71"/>
      <c r="J2" s="71"/>
      <c r="K2" s="71"/>
      <c r="L2" s="71"/>
      <c r="M2" s="71"/>
      <c r="N2" s="71"/>
    </row>
    <row r="3" spans="1:14">
      <c r="I3" s="71"/>
      <c r="J3" s="71"/>
      <c r="K3" s="71"/>
      <c r="L3" s="71"/>
      <c r="M3" s="71"/>
      <c r="N3" s="71"/>
    </row>
    <row r="4" spans="1:14" ht="15.75" customHeight="1">
      <c r="A4" s="2" t="s">
        <v>88</v>
      </c>
      <c r="B4" s="2" t="s">
        <v>89</v>
      </c>
      <c r="C4" s="2" t="s">
        <v>90</v>
      </c>
      <c r="D4" s="2" t="s">
        <v>91</v>
      </c>
      <c r="E4" s="2" t="s">
        <v>92</v>
      </c>
      <c r="I4" s="71"/>
      <c r="J4" s="71"/>
      <c r="K4" s="71"/>
      <c r="L4" s="71"/>
      <c r="M4" s="71"/>
      <c r="N4" s="71"/>
    </row>
    <row r="5" spans="1:14" ht="15" customHeight="1">
      <c r="A5" s="22" t="s">
        <v>266</v>
      </c>
      <c r="B5" s="45">
        <v>66</v>
      </c>
      <c r="C5" s="45">
        <v>24</v>
      </c>
      <c r="D5" s="45">
        <v>36</v>
      </c>
      <c r="E5" s="85" t="s">
        <v>6</v>
      </c>
    </row>
    <row r="6" spans="1:14">
      <c r="A6" s="24" t="s">
        <v>267</v>
      </c>
      <c r="B6" s="86" t="s">
        <v>6</v>
      </c>
      <c r="C6" s="86">
        <v>12</v>
      </c>
      <c r="D6" s="86">
        <v>14</v>
      </c>
      <c r="E6" s="86" t="s">
        <v>6</v>
      </c>
    </row>
    <row r="7" spans="1:14" ht="39" customHeight="1">
      <c r="A7" s="65" t="s">
        <v>268</v>
      </c>
      <c r="B7" s="65"/>
      <c r="C7" s="65"/>
      <c r="D7" s="65"/>
      <c r="E7" s="65"/>
    </row>
    <row r="13" spans="1:14" ht="79.5" customHeight="1">
      <c r="A13" s="72" t="s">
        <v>269</v>
      </c>
      <c r="B13" s="72"/>
      <c r="C13" s="72"/>
      <c r="D13" s="72"/>
      <c r="E13" s="72"/>
      <c r="F13" s="72"/>
      <c r="G13" s="72"/>
      <c r="H13" s="72"/>
      <c r="I13" s="72"/>
      <c r="J13" s="72"/>
      <c r="K13" s="72"/>
      <c r="L13" s="72"/>
      <c r="M13" s="72"/>
      <c r="N13" s="72"/>
    </row>
    <row r="14" spans="1:14">
      <c r="A14" s="72"/>
      <c r="B14" s="72"/>
      <c r="C14" s="72"/>
      <c r="D14" s="72"/>
      <c r="E14" s="72"/>
      <c r="F14" s="72"/>
      <c r="G14" s="72"/>
      <c r="H14" s="72"/>
      <c r="I14" s="72"/>
      <c r="J14" s="72"/>
      <c r="K14" s="72"/>
      <c r="L14" s="72"/>
      <c r="M14" s="72"/>
      <c r="N14" s="72"/>
    </row>
    <row r="15" spans="1:14">
      <c r="A15" s="72"/>
      <c r="B15" s="72"/>
      <c r="C15" s="72"/>
      <c r="D15" s="72"/>
      <c r="E15" s="72"/>
      <c r="F15" s="72"/>
      <c r="G15" s="72"/>
      <c r="H15" s="72"/>
      <c r="I15" s="72"/>
      <c r="J15" s="72"/>
      <c r="K15" s="72"/>
      <c r="L15" s="72"/>
      <c r="M15" s="72"/>
      <c r="N15" s="72"/>
    </row>
    <row r="16" spans="1:14">
      <c r="A16" s="72"/>
      <c r="B16" s="72"/>
      <c r="C16" s="72"/>
      <c r="D16" s="72"/>
      <c r="E16" s="72"/>
      <c r="F16" s="72"/>
      <c r="G16" s="72"/>
      <c r="H16" s="72"/>
      <c r="I16" s="72"/>
      <c r="J16" s="72"/>
      <c r="K16" s="72"/>
      <c r="L16" s="72"/>
      <c r="M16" s="72"/>
      <c r="N16" s="72"/>
    </row>
  </sheetData>
  <mergeCells count="5">
    <mergeCell ref="A1:F1"/>
    <mergeCell ref="A2:F2"/>
    <mergeCell ref="I2:N4"/>
    <mergeCell ref="A7:E7"/>
    <mergeCell ref="A13:N16"/>
  </mergeCells>
  <hyperlinks>
    <hyperlink ref="G1" r:id="rId1" location="'ملخص%20عام'!A1" xr:uid="{00000000-0004-0000-1300-000000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7"/>
  <sheetViews>
    <sheetView rightToLeft="1" zoomScaleNormal="100" workbookViewId="0"/>
  </sheetViews>
  <sheetFormatPr defaultColWidth="8.7109375" defaultRowHeight="15"/>
  <cols>
    <col min="1" max="1" width="42" customWidth="1"/>
    <col min="2" max="5" width="14" customWidth="1"/>
  </cols>
  <sheetData>
    <row r="1" spans="1:14" ht="18" customHeight="1">
      <c r="A1" s="64" t="s">
        <v>270</v>
      </c>
      <c r="B1" s="64"/>
      <c r="C1" s="64"/>
      <c r="D1" s="64"/>
      <c r="E1" s="64"/>
      <c r="F1" s="64"/>
      <c r="G1" s="21" t="s">
        <v>86</v>
      </c>
    </row>
    <row r="2" spans="1:14" ht="15" customHeight="1">
      <c r="A2" s="65" t="s">
        <v>271</v>
      </c>
      <c r="B2" s="65"/>
      <c r="C2" s="65"/>
      <c r="D2" s="65"/>
      <c r="E2" s="65"/>
      <c r="F2" s="65"/>
      <c r="I2" s="71" t="s">
        <v>98</v>
      </c>
      <c r="J2" s="71"/>
      <c r="K2" s="71"/>
      <c r="L2" s="71"/>
      <c r="M2" s="71"/>
      <c r="N2" s="71"/>
    </row>
    <row r="3" spans="1:14">
      <c r="I3" s="71"/>
      <c r="J3" s="71"/>
      <c r="K3" s="71"/>
      <c r="L3" s="71"/>
      <c r="M3" s="71"/>
      <c r="N3" s="71"/>
    </row>
    <row r="4" spans="1:14" ht="15.75" customHeight="1">
      <c r="A4" s="2" t="s">
        <v>88</v>
      </c>
      <c r="B4" s="2" t="s">
        <v>89</v>
      </c>
      <c r="C4" s="2" t="s">
        <v>90</v>
      </c>
      <c r="D4" s="2" t="s">
        <v>91</v>
      </c>
      <c r="E4" s="2" t="s">
        <v>92</v>
      </c>
      <c r="I4" s="71"/>
      <c r="J4" s="71"/>
      <c r="K4" s="71"/>
      <c r="L4" s="71"/>
      <c r="M4" s="71"/>
      <c r="N4" s="71"/>
    </row>
    <row r="5" spans="1:14" ht="15" customHeight="1">
      <c r="A5" s="22" t="s">
        <v>163</v>
      </c>
      <c r="B5" s="23" t="s">
        <v>6</v>
      </c>
      <c r="C5" s="23" t="s">
        <v>6</v>
      </c>
      <c r="D5" s="23" t="s">
        <v>6</v>
      </c>
      <c r="E5" s="23" t="s">
        <v>6</v>
      </c>
    </row>
    <row r="7" spans="1:14" ht="23.25" customHeight="1">
      <c r="A7" s="65" t="s">
        <v>272</v>
      </c>
      <c r="B7" s="65"/>
      <c r="C7" s="65"/>
      <c r="D7" s="65"/>
      <c r="E7" s="65"/>
    </row>
  </sheetData>
  <mergeCells count="4">
    <mergeCell ref="A1:F1"/>
    <mergeCell ref="A2:F2"/>
    <mergeCell ref="I2:N4"/>
    <mergeCell ref="A7:E7"/>
  </mergeCells>
  <hyperlinks>
    <hyperlink ref="G1" r:id="rId1" location="'ملخص%20عام'!A1" xr:uid="{00000000-0004-0000-1400-000000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
  <sheetViews>
    <sheetView rightToLeft="1" zoomScaleNormal="100" workbookViewId="0"/>
  </sheetViews>
  <sheetFormatPr defaultColWidth="8.7109375" defaultRowHeight="15"/>
  <cols>
    <col min="1" max="1" width="42" customWidth="1"/>
    <col min="2" max="5" width="14" customWidth="1"/>
  </cols>
  <sheetData>
    <row r="1" spans="1:14" ht="18" customHeight="1">
      <c r="A1" s="64" t="s">
        <v>273</v>
      </c>
      <c r="B1" s="64"/>
      <c r="C1" s="64"/>
      <c r="D1" s="64"/>
      <c r="E1" s="64"/>
      <c r="F1" s="64"/>
      <c r="G1" s="21" t="s">
        <v>86</v>
      </c>
    </row>
    <row r="2" spans="1:14" ht="15" customHeight="1">
      <c r="A2" s="65" t="s">
        <v>274</v>
      </c>
      <c r="B2" s="65"/>
      <c r="C2" s="65"/>
      <c r="D2" s="65"/>
      <c r="E2" s="65"/>
      <c r="F2" s="65"/>
      <c r="I2" s="71" t="s">
        <v>98</v>
      </c>
      <c r="J2" s="71"/>
      <c r="K2" s="71"/>
      <c r="L2" s="71"/>
      <c r="M2" s="71"/>
      <c r="N2" s="71"/>
    </row>
    <row r="3" spans="1:14">
      <c r="I3" s="71"/>
      <c r="J3" s="71"/>
      <c r="K3" s="71"/>
      <c r="L3" s="71"/>
      <c r="M3" s="71"/>
      <c r="N3" s="71"/>
    </row>
    <row r="4" spans="1:14" ht="15.75" customHeight="1">
      <c r="A4" s="2" t="s">
        <v>88</v>
      </c>
      <c r="B4" s="2" t="s">
        <v>89</v>
      </c>
      <c r="C4" s="2" t="s">
        <v>90</v>
      </c>
      <c r="D4" s="2" t="s">
        <v>91</v>
      </c>
      <c r="E4" s="2" t="s">
        <v>92</v>
      </c>
      <c r="I4" s="71"/>
      <c r="J4" s="71"/>
      <c r="K4" s="71"/>
      <c r="L4" s="71"/>
      <c r="M4" s="71"/>
      <c r="N4" s="71"/>
    </row>
    <row r="5" spans="1:14" ht="15" customHeight="1">
      <c r="A5" s="22" t="s">
        <v>163</v>
      </c>
      <c r="B5" s="23" t="s">
        <v>6</v>
      </c>
      <c r="C5" s="23" t="s">
        <v>6</v>
      </c>
      <c r="D5" s="23" t="s">
        <v>6</v>
      </c>
      <c r="E5" s="23" t="s">
        <v>6</v>
      </c>
    </row>
    <row r="7" spans="1:14" ht="15" customHeight="1">
      <c r="A7" s="65" t="s">
        <v>275</v>
      </c>
      <c r="B7" s="65"/>
      <c r="C7" s="65"/>
      <c r="D7" s="65"/>
      <c r="E7" s="65"/>
    </row>
  </sheetData>
  <mergeCells count="4">
    <mergeCell ref="A1:F1"/>
    <mergeCell ref="A2:F2"/>
    <mergeCell ref="I2:N4"/>
    <mergeCell ref="A7:E7"/>
  </mergeCells>
  <hyperlinks>
    <hyperlink ref="G1" r:id="rId1" location="'ملخص%20عام'!A1" xr:uid="{00000000-0004-0000-1500-000000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29"/>
  <sheetViews>
    <sheetView rightToLeft="1" zoomScaleNormal="100" workbookViewId="0"/>
  </sheetViews>
  <sheetFormatPr defaultColWidth="8.7109375" defaultRowHeight="15"/>
  <cols>
    <col min="1" max="1" width="40" customWidth="1"/>
    <col min="2" max="5" width="14" customWidth="1"/>
  </cols>
  <sheetData>
    <row r="1" spans="1:7" ht="18" customHeight="1">
      <c r="A1" s="64" t="s">
        <v>276</v>
      </c>
      <c r="B1" s="64"/>
      <c r="C1" s="64"/>
      <c r="D1" s="64"/>
      <c r="E1" s="64"/>
      <c r="F1" s="64"/>
      <c r="G1" s="21" t="s">
        <v>86</v>
      </c>
    </row>
    <row r="2" spans="1:7" ht="15" customHeight="1">
      <c r="A2" s="65" t="s">
        <v>277</v>
      </c>
      <c r="B2" s="65"/>
      <c r="C2" s="65"/>
      <c r="D2" s="65"/>
      <c r="E2" s="65"/>
      <c r="F2" s="65"/>
    </row>
    <row r="4" spans="1:7" ht="15.75" customHeight="1">
      <c r="A4" s="2" t="s">
        <v>88</v>
      </c>
      <c r="B4" s="2" t="s">
        <v>89</v>
      </c>
      <c r="C4" s="2" t="s">
        <v>90</v>
      </c>
      <c r="D4" s="2" t="s">
        <v>91</v>
      </c>
      <c r="E4" s="2" t="s">
        <v>92</v>
      </c>
    </row>
    <row r="5" spans="1:7" ht="15" customHeight="1">
      <c r="A5" s="28" t="s">
        <v>105</v>
      </c>
      <c r="B5" s="3">
        <v>130</v>
      </c>
      <c r="C5" s="3">
        <v>89</v>
      </c>
      <c r="D5" s="23">
        <v>0</v>
      </c>
      <c r="E5" s="23">
        <v>0</v>
      </c>
    </row>
    <row r="6" spans="1:7" ht="15" customHeight="1">
      <c r="A6" s="28" t="s">
        <v>278</v>
      </c>
      <c r="B6" s="23">
        <v>0</v>
      </c>
      <c r="C6" s="23">
        <v>0</v>
      </c>
      <c r="D6" s="3">
        <v>63</v>
      </c>
      <c r="E6" s="3">
        <v>93</v>
      </c>
    </row>
    <row r="7" spans="1:7" ht="15" customHeight="1">
      <c r="A7" s="28" t="s">
        <v>279</v>
      </c>
      <c r="B7" s="3">
        <v>1</v>
      </c>
      <c r="C7" s="23">
        <v>0</v>
      </c>
      <c r="D7" s="23">
        <v>0</v>
      </c>
      <c r="E7" s="23">
        <v>0</v>
      </c>
    </row>
    <row r="8" spans="1:7" ht="15" customHeight="1">
      <c r="A8" s="28" t="s">
        <v>280</v>
      </c>
      <c r="B8" s="3">
        <v>1</v>
      </c>
      <c r="C8" s="23">
        <v>0</v>
      </c>
      <c r="D8" s="3">
        <v>3</v>
      </c>
      <c r="E8" s="23">
        <v>0</v>
      </c>
    </row>
    <row r="9" spans="1:7" ht="15" customHeight="1">
      <c r="A9" s="28" t="s">
        <v>112</v>
      </c>
      <c r="B9" s="3">
        <v>3</v>
      </c>
      <c r="C9" s="3">
        <v>1</v>
      </c>
      <c r="D9" s="3">
        <v>2</v>
      </c>
      <c r="E9" s="23">
        <v>0</v>
      </c>
    </row>
    <row r="10" spans="1:7" ht="15" customHeight="1">
      <c r="A10" s="28" t="s">
        <v>106</v>
      </c>
      <c r="B10" s="3">
        <v>84</v>
      </c>
      <c r="C10" s="3">
        <v>78</v>
      </c>
      <c r="D10" s="3">
        <v>63</v>
      </c>
      <c r="E10" s="3">
        <v>45</v>
      </c>
    </row>
    <row r="11" spans="1:7" ht="15" customHeight="1">
      <c r="A11" s="28" t="s">
        <v>281</v>
      </c>
      <c r="B11" s="3">
        <v>9</v>
      </c>
      <c r="C11" s="3">
        <v>13</v>
      </c>
      <c r="D11" s="3">
        <v>7</v>
      </c>
      <c r="E11" s="3">
        <v>13</v>
      </c>
    </row>
    <row r="12" spans="1:7" ht="15" customHeight="1">
      <c r="A12" s="28" t="s">
        <v>282</v>
      </c>
      <c r="B12" s="3">
        <v>1</v>
      </c>
      <c r="C12" s="3">
        <v>1</v>
      </c>
      <c r="D12" s="23">
        <v>0</v>
      </c>
      <c r="E12" s="23">
        <v>0</v>
      </c>
    </row>
    <row r="13" spans="1:7" ht="15" customHeight="1">
      <c r="A13" s="28" t="s">
        <v>109</v>
      </c>
      <c r="B13" s="3">
        <v>4</v>
      </c>
      <c r="C13" s="3">
        <v>4</v>
      </c>
      <c r="D13" s="3">
        <v>1</v>
      </c>
      <c r="E13" s="23">
        <v>0</v>
      </c>
    </row>
    <row r="14" spans="1:7" ht="15" customHeight="1">
      <c r="A14" s="28" t="s">
        <v>108</v>
      </c>
      <c r="B14" s="3">
        <v>6</v>
      </c>
      <c r="C14" s="3">
        <v>4</v>
      </c>
      <c r="D14" s="3">
        <v>3</v>
      </c>
      <c r="E14" s="3">
        <v>6</v>
      </c>
    </row>
    <row r="15" spans="1:7" ht="15" customHeight="1">
      <c r="A15" s="28" t="s">
        <v>116</v>
      </c>
      <c r="B15" s="23">
        <v>0</v>
      </c>
      <c r="C15" s="3">
        <v>3</v>
      </c>
      <c r="D15" s="3">
        <v>1</v>
      </c>
      <c r="E15" s="23">
        <v>0</v>
      </c>
    </row>
    <row r="16" spans="1:7" ht="15" customHeight="1">
      <c r="A16" s="28" t="s">
        <v>283</v>
      </c>
      <c r="B16" s="23">
        <v>0</v>
      </c>
      <c r="C16" s="3">
        <v>1</v>
      </c>
      <c r="D16" s="23">
        <v>0</v>
      </c>
      <c r="E16" s="23">
        <v>0</v>
      </c>
    </row>
    <row r="17" spans="1:14" ht="15" customHeight="1">
      <c r="A17" s="28" t="s">
        <v>284</v>
      </c>
      <c r="B17" s="23">
        <v>0</v>
      </c>
      <c r="C17" s="3">
        <v>1</v>
      </c>
      <c r="D17" s="23">
        <v>0</v>
      </c>
      <c r="E17" s="23">
        <v>0</v>
      </c>
    </row>
    <row r="18" spans="1:14" ht="15" customHeight="1">
      <c r="A18" s="28" t="s">
        <v>285</v>
      </c>
      <c r="B18" s="23">
        <v>0</v>
      </c>
      <c r="C18" s="3">
        <v>2</v>
      </c>
      <c r="D18" s="23">
        <v>0</v>
      </c>
      <c r="E18" s="23">
        <v>0</v>
      </c>
      <c r="I18" s="66" t="s">
        <v>286</v>
      </c>
      <c r="J18" s="66"/>
      <c r="K18" s="66"/>
      <c r="L18" s="66"/>
      <c r="M18" s="66"/>
      <c r="N18" s="66"/>
    </row>
    <row r="19" spans="1:14" ht="15" customHeight="1">
      <c r="A19" s="28" t="s">
        <v>111</v>
      </c>
      <c r="B19" s="23">
        <v>0</v>
      </c>
      <c r="C19" s="3">
        <v>2</v>
      </c>
      <c r="D19" s="23">
        <v>0</v>
      </c>
      <c r="E19" s="23">
        <v>0</v>
      </c>
      <c r="I19" s="66"/>
      <c r="J19" s="66"/>
      <c r="K19" s="66"/>
      <c r="L19" s="66"/>
      <c r="M19" s="66"/>
      <c r="N19" s="66"/>
    </row>
    <row r="20" spans="1:14" ht="15" customHeight="1">
      <c r="A20" s="28" t="s">
        <v>287</v>
      </c>
      <c r="B20" s="23">
        <v>0</v>
      </c>
      <c r="C20" s="3">
        <v>3</v>
      </c>
      <c r="D20" s="23">
        <v>0</v>
      </c>
      <c r="E20" s="23">
        <v>0</v>
      </c>
    </row>
    <row r="21" spans="1:14" ht="15" customHeight="1">
      <c r="A21" s="28" t="s">
        <v>288</v>
      </c>
      <c r="B21" s="23">
        <v>0</v>
      </c>
      <c r="C21" s="23">
        <v>0</v>
      </c>
      <c r="D21" s="3">
        <v>2</v>
      </c>
      <c r="E21" s="23">
        <v>0</v>
      </c>
    </row>
    <row r="22" spans="1:14" ht="15" customHeight="1">
      <c r="A22" s="28" t="s">
        <v>289</v>
      </c>
      <c r="B22" s="23">
        <v>0</v>
      </c>
      <c r="C22" s="23">
        <v>0</v>
      </c>
      <c r="D22" s="3">
        <v>1</v>
      </c>
      <c r="E22" s="23">
        <v>0</v>
      </c>
    </row>
    <row r="23" spans="1:14" ht="15" customHeight="1">
      <c r="A23" s="28" t="s">
        <v>290</v>
      </c>
      <c r="B23" s="23">
        <v>0</v>
      </c>
      <c r="C23" s="23">
        <v>0</v>
      </c>
      <c r="D23" s="3">
        <v>1</v>
      </c>
      <c r="E23" s="23">
        <v>0</v>
      </c>
    </row>
    <row r="24" spans="1:14" ht="15" customHeight="1">
      <c r="A24" s="28" t="s">
        <v>291</v>
      </c>
      <c r="B24" s="23">
        <v>0</v>
      </c>
      <c r="C24" s="23">
        <v>0</v>
      </c>
      <c r="D24" s="3">
        <v>1</v>
      </c>
      <c r="E24" s="23">
        <v>0</v>
      </c>
    </row>
    <row r="25" spans="1:14" ht="15" customHeight="1">
      <c r="A25" s="28" t="s">
        <v>117</v>
      </c>
      <c r="B25" s="23">
        <v>0</v>
      </c>
      <c r="C25" s="23">
        <v>0</v>
      </c>
      <c r="D25" s="23">
        <v>0</v>
      </c>
      <c r="E25" s="3">
        <v>1</v>
      </c>
    </row>
    <row r="26" spans="1:14" ht="15" customHeight="1">
      <c r="A26" s="28" t="s">
        <v>292</v>
      </c>
      <c r="B26" s="23">
        <v>0</v>
      </c>
      <c r="C26" s="23">
        <v>0</v>
      </c>
      <c r="D26" s="23">
        <v>0</v>
      </c>
      <c r="E26" s="3">
        <v>1</v>
      </c>
    </row>
    <row r="27" spans="1:14" ht="15" customHeight="1">
      <c r="A27" s="46" t="s">
        <v>119</v>
      </c>
      <c r="B27" s="27">
        <v>239</v>
      </c>
      <c r="C27" s="27">
        <v>202</v>
      </c>
      <c r="D27" s="27">
        <v>148</v>
      </c>
      <c r="E27" s="27">
        <v>159</v>
      </c>
    </row>
    <row r="29" spans="1:14" ht="23.25" customHeight="1">
      <c r="A29" s="65" t="s">
        <v>293</v>
      </c>
      <c r="B29" s="65"/>
      <c r="C29" s="65"/>
      <c r="D29" s="65"/>
      <c r="E29" s="65"/>
    </row>
  </sheetData>
  <mergeCells count="4">
    <mergeCell ref="A1:F1"/>
    <mergeCell ref="A2:F2"/>
    <mergeCell ref="I18:N19"/>
    <mergeCell ref="A29:E29"/>
  </mergeCells>
  <hyperlinks>
    <hyperlink ref="G1" r:id="rId1" location="'ملخص%20عام'!A1" xr:uid="{00000000-0004-0000-1600-000000000000}"/>
  </hyperlinks>
  <pageMargins left="0.75" right="0.75" top="1" bottom="1" header="0.511811023622047" footer="0.511811023622047"/>
  <pageSetup paperSize="9" orientation="portrait" horizontalDpi="300" verticalDpi="30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rightToLeft="1" zoomScaleNormal="100" workbookViewId="0">
      <selection activeCell="H16" sqref="H16"/>
    </sheetView>
  </sheetViews>
  <sheetFormatPr defaultColWidth="8.7109375" defaultRowHeight="15"/>
  <cols>
    <col min="1" max="1" width="46" customWidth="1"/>
    <col min="2" max="5" width="14" customWidth="1"/>
  </cols>
  <sheetData>
    <row r="1" spans="1:7" ht="18" customHeight="1">
      <c r="A1" s="64" t="s">
        <v>294</v>
      </c>
      <c r="B1" s="64"/>
      <c r="C1" s="64"/>
      <c r="D1" s="64"/>
      <c r="E1" s="64"/>
      <c r="F1" s="64"/>
      <c r="G1" s="21" t="s">
        <v>86</v>
      </c>
    </row>
    <row r="2" spans="1:7" ht="15" customHeight="1">
      <c r="A2" s="65" t="s">
        <v>295</v>
      </c>
      <c r="B2" s="65"/>
      <c r="C2" s="65"/>
      <c r="D2" s="65"/>
      <c r="E2" s="65"/>
      <c r="F2" s="65"/>
    </row>
    <row r="4" spans="1:7" ht="15.75" customHeight="1">
      <c r="A4" s="2" t="s">
        <v>88</v>
      </c>
      <c r="B4" s="2" t="s">
        <v>89</v>
      </c>
      <c r="C4" s="2" t="s">
        <v>90</v>
      </c>
      <c r="D4" s="2" t="s">
        <v>91</v>
      </c>
      <c r="E4" s="2" t="s">
        <v>92</v>
      </c>
    </row>
    <row r="5" spans="1:7" ht="15" customHeight="1">
      <c r="A5" s="28" t="s">
        <v>121</v>
      </c>
      <c r="B5" s="3">
        <v>134</v>
      </c>
      <c r="C5" s="3">
        <v>106</v>
      </c>
      <c r="D5" s="3">
        <v>62</v>
      </c>
      <c r="E5" s="3">
        <v>70</v>
      </c>
    </row>
    <row r="6" spans="1:7" ht="15" customHeight="1">
      <c r="A6" s="28" t="s">
        <v>124</v>
      </c>
      <c r="B6" s="3">
        <v>12</v>
      </c>
      <c r="C6" s="3">
        <v>9</v>
      </c>
      <c r="D6" s="3">
        <v>4</v>
      </c>
      <c r="E6" s="3">
        <v>8</v>
      </c>
    </row>
    <row r="7" spans="1:7" ht="15" customHeight="1">
      <c r="A7" s="28" t="s">
        <v>123</v>
      </c>
      <c r="B7" s="3">
        <v>27</v>
      </c>
      <c r="C7" s="3">
        <v>40</v>
      </c>
      <c r="D7" s="3">
        <v>18</v>
      </c>
      <c r="E7" s="3">
        <v>13</v>
      </c>
    </row>
    <row r="8" spans="1:7" ht="15" customHeight="1">
      <c r="A8" s="28" t="s">
        <v>122</v>
      </c>
      <c r="B8" s="3">
        <v>53</v>
      </c>
      <c r="C8" s="3">
        <v>38</v>
      </c>
      <c r="D8" s="3">
        <v>35</v>
      </c>
      <c r="E8" s="3">
        <v>58</v>
      </c>
    </row>
    <row r="9" spans="1:7" ht="15" customHeight="1">
      <c r="A9" s="28" t="s">
        <v>296</v>
      </c>
      <c r="B9" s="3">
        <v>23</v>
      </c>
      <c r="C9" s="3">
        <v>10</v>
      </c>
      <c r="D9" s="3">
        <v>17</v>
      </c>
      <c r="E9" s="3">
        <v>12</v>
      </c>
    </row>
    <row r="10" spans="1:7" ht="15" customHeight="1">
      <c r="A10" s="28" t="s">
        <v>134</v>
      </c>
      <c r="B10" s="3">
        <v>15</v>
      </c>
      <c r="C10" s="3">
        <v>13</v>
      </c>
      <c r="D10" s="3">
        <v>25</v>
      </c>
      <c r="E10" s="3">
        <v>17</v>
      </c>
    </row>
    <row r="11" spans="1:7" ht="15" customHeight="1">
      <c r="A11" s="28" t="s">
        <v>297</v>
      </c>
      <c r="B11" s="3">
        <v>7</v>
      </c>
      <c r="C11" s="3">
        <v>8</v>
      </c>
      <c r="D11" s="3">
        <v>4</v>
      </c>
      <c r="E11" s="23">
        <v>0</v>
      </c>
    </row>
    <row r="12" spans="1:7" ht="15" customHeight="1">
      <c r="A12" s="28" t="s">
        <v>298</v>
      </c>
      <c r="B12" s="3">
        <v>25</v>
      </c>
      <c r="C12" s="3">
        <v>26</v>
      </c>
      <c r="D12" s="3">
        <v>11</v>
      </c>
      <c r="E12" s="3">
        <v>9</v>
      </c>
    </row>
    <row r="13" spans="1:7" ht="15" customHeight="1">
      <c r="A13" s="28" t="s">
        <v>127</v>
      </c>
      <c r="B13" s="3">
        <v>14</v>
      </c>
      <c r="C13" s="3">
        <v>12</v>
      </c>
      <c r="D13" s="3">
        <v>5</v>
      </c>
      <c r="E13" s="3">
        <v>22</v>
      </c>
    </row>
    <row r="14" spans="1:7" ht="15" customHeight="1">
      <c r="A14" s="28" t="s">
        <v>129</v>
      </c>
      <c r="B14" s="3">
        <v>2</v>
      </c>
      <c r="C14" s="23">
        <v>0</v>
      </c>
      <c r="D14" s="3">
        <v>3</v>
      </c>
      <c r="E14" s="23">
        <v>0</v>
      </c>
    </row>
    <row r="15" spans="1:7" ht="29.25" customHeight="1">
      <c r="A15" s="28" t="s">
        <v>299</v>
      </c>
      <c r="B15" s="25">
        <v>0</v>
      </c>
      <c r="C15" s="23">
        <v>0</v>
      </c>
      <c r="D15" s="23">
        <v>0</v>
      </c>
      <c r="E15" s="3">
        <v>16</v>
      </c>
    </row>
    <row r="16" spans="1:7" ht="15" customHeight="1">
      <c r="A16" s="28" t="s">
        <v>131</v>
      </c>
      <c r="B16" s="3">
        <v>10</v>
      </c>
      <c r="C16" s="3">
        <v>15</v>
      </c>
      <c r="D16" s="3">
        <v>8</v>
      </c>
      <c r="E16" s="3">
        <v>13</v>
      </c>
    </row>
    <row r="17" spans="1:14" ht="15" customHeight="1">
      <c r="A17" s="28" t="s">
        <v>135</v>
      </c>
      <c r="B17" s="3">
        <v>3</v>
      </c>
      <c r="C17" s="3">
        <v>2</v>
      </c>
      <c r="D17" s="3">
        <v>1</v>
      </c>
      <c r="E17" s="3">
        <v>2</v>
      </c>
    </row>
    <row r="18" spans="1:14" ht="15" customHeight="1">
      <c r="A18" s="28" t="s">
        <v>300</v>
      </c>
      <c r="B18" s="3">
        <v>6</v>
      </c>
      <c r="C18" s="23">
        <v>0</v>
      </c>
      <c r="D18" s="23">
        <v>0</v>
      </c>
      <c r="E18" s="23">
        <v>0</v>
      </c>
      <c r="I18" s="66" t="s">
        <v>301</v>
      </c>
      <c r="J18" s="66"/>
      <c r="K18" s="66"/>
      <c r="L18" s="66"/>
      <c r="M18" s="66"/>
      <c r="N18" s="66"/>
    </row>
    <row r="19" spans="1:14" ht="15" customHeight="1">
      <c r="A19" s="28" t="s">
        <v>130</v>
      </c>
      <c r="B19" s="23">
        <v>0</v>
      </c>
      <c r="C19" s="3">
        <v>1</v>
      </c>
      <c r="D19" s="23">
        <v>0</v>
      </c>
      <c r="E19" s="3">
        <v>1</v>
      </c>
      <c r="I19" s="66"/>
      <c r="J19" s="66"/>
      <c r="K19" s="66"/>
      <c r="L19" s="66"/>
      <c r="M19" s="66"/>
      <c r="N19" s="66"/>
    </row>
    <row r="20" spans="1:14" ht="15" customHeight="1">
      <c r="A20" s="28" t="s">
        <v>126</v>
      </c>
      <c r="B20" s="23">
        <v>0</v>
      </c>
      <c r="C20" s="23">
        <v>0</v>
      </c>
      <c r="D20" s="23">
        <v>0</v>
      </c>
      <c r="E20" s="3">
        <v>4</v>
      </c>
    </row>
    <row r="21" spans="1:14" ht="15" customHeight="1">
      <c r="A21" s="46" t="s">
        <v>119</v>
      </c>
      <c r="B21" s="27">
        <v>331</v>
      </c>
      <c r="C21" s="27">
        <v>280</v>
      </c>
      <c r="D21" s="27">
        <v>193</v>
      </c>
      <c r="E21" s="27">
        <v>245</v>
      </c>
    </row>
    <row r="23" spans="1:14" ht="34.5" customHeight="1">
      <c r="A23" s="65" t="s">
        <v>302</v>
      </c>
      <c r="B23" s="65"/>
      <c r="C23" s="65"/>
      <c r="D23" s="65"/>
      <c r="E23" s="65"/>
    </row>
  </sheetData>
  <mergeCells count="4">
    <mergeCell ref="A1:F1"/>
    <mergeCell ref="A2:F2"/>
    <mergeCell ref="I18:N19"/>
    <mergeCell ref="A23:E23"/>
  </mergeCells>
  <hyperlinks>
    <hyperlink ref="G1" r:id="rId1" location="'ملخص%20عام'!A1" xr:uid="{00000000-0004-0000-1700-000000000000}"/>
  </hyperlinks>
  <pageMargins left="0.75" right="0.75" top="1" bottom="1" header="0.511811023622047" footer="0.511811023622047"/>
  <pageSetup paperSize="9" orientation="portrait" horizontalDpi="300" verticalDpi="30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36"/>
  <sheetViews>
    <sheetView rightToLeft="1" zoomScaleNormal="100" workbookViewId="0"/>
  </sheetViews>
  <sheetFormatPr defaultColWidth="8.7109375" defaultRowHeight="15"/>
  <cols>
    <col min="1" max="1" width="40" customWidth="1"/>
    <col min="2" max="5" width="14" customWidth="1"/>
  </cols>
  <sheetData>
    <row r="1" spans="1:7" ht="18" customHeight="1">
      <c r="A1" s="64" t="s">
        <v>303</v>
      </c>
      <c r="B1" s="64"/>
      <c r="C1" s="64"/>
      <c r="D1" s="64"/>
      <c r="E1" s="64"/>
      <c r="F1" s="64"/>
      <c r="G1" s="21" t="s">
        <v>86</v>
      </c>
    </row>
    <row r="2" spans="1:7" ht="15" customHeight="1">
      <c r="A2" s="65" t="s">
        <v>304</v>
      </c>
      <c r="B2" s="65"/>
      <c r="C2" s="65"/>
      <c r="D2" s="65"/>
      <c r="E2" s="65"/>
      <c r="F2" s="65"/>
    </row>
    <row r="4" spans="1:7" ht="15" customHeight="1">
      <c r="A4" s="24" t="s">
        <v>305</v>
      </c>
    </row>
    <row r="5" spans="1:7" ht="15.75" customHeight="1">
      <c r="A5" s="2" t="s">
        <v>88</v>
      </c>
      <c r="B5" s="2" t="s">
        <v>89</v>
      </c>
      <c r="C5" s="2" t="s">
        <v>90</v>
      </c>
      <c r="D5" s="2" t="s">
        <v>91</v>
      </c>
      <c r="E5" s="2" t="s">
        <v>92</v>
      </c>
    </row>
    <row r="6" spans="1:7" ht="15" customHeight="1">
      <c r="A6" s="28" t="s">
        <v>105</v>
      </c>
      <c r="B6" s="3">
        <v>80</v>
      </c>
      <c r="C6" s="23" t="s">
        <v>6</v>
      </c>
      <c r="D6" s="23" t="s">
        <v>6</v>
      </c>
      <c r="E6" s="23" t="s">
        <v>6</v>
      </c>
    </row>
    <row r="7" spans="1:7" ht="15" customHeight="1">
      <c r="A7" s="28" t="s">
        <v>106</v>
      </c>
      <c r="B7" s="3">
        <v>51</v>
      </c>
      <c r="C7" s="23" t="s">
        <v>6</v>
      </c>
      <c r="D7" s="23" t="s">
        <v>6</v>
      </c>
      <c r="E7" s="23" t="s">
        <v>6</v>
      </c>
    </row>
    <row r="8" spans="1:7" ht="15" customHeight="1">
      <c r="A8" s="28" t="s">
        <v>107</v>
      </c>
      <c r="B8" s="3">
        <v>8</v>
      </c>
      <c r="C8" s="23" t="s">
        <v>6</v>
      </c>
      <c r="D8" s="23" t="s">
        <v>6</v>
      </c>
      <c r="E8" s="23" t="s">
        <v>6</v>
      </c>
    </row>
    <row r="9" spans="1:7" ht="15" customHeight="1">
      <c r="A9" s="28" t="s">
        <v>108</v>
      </c>
      <c r="B9" s="3">
        <v>1</v>
      </c>
      <c r="C9" s="23" t="s">
        <v>6</v>
      </c>
      <c r="D9" s="23" t="s">
        <v>6</v>
      </c>
      <c r="E9" s="23" t="s">
        <v>6</v>
      </c>
    </row>
    <row r="10" spans="1:7" ht="15" customHeight="1">
      <c r="A10" s="28" t="s">
        <v>111</v>
      </c>
      <c r="B10" s="3">
        <v>2</v>
      </c>
      <c r="C10" s="23" t="s">
        <v>6</v>
      </c>
      <c r="D10" s="23" t="s">
        <v>6</v>
      </c>
      <c r="E10" s="23" t="s">
        <v>6</v>
      </c>
    </row>
    <row r="11" spans="1:7" ht="15" customHeight="1">
      <c r="A11" s="28" t="s">
        <v>112</v>
      </c>
      <c r="B11" s="3">
        <v>1</v>
      </c>
      <c r="C11" s="23" t="s">
        <v>6</v>
      </c>
      <c r="D11" s="23" t="s">
        <v>6</v>
      </c>
      <c r="E11" s="23" t="s">
        <v>6</v>
      </c>
    </row>
    <row r="12" spans="1:7" ht="15" customHeight="1">
      <c r="A12" s="28" t="s">
        <v>280</v>
      </c>
      <c r="B12" s="3">
        <v>1</v>
      </c>
      <c r="C12" s="23" t="s">
        <v>6</v>
      </c>
      <c r="D12" s="23" t="s">
        <v>6</v>
      </c>
      <c r="E12" s="23" t="s">
        <v>6</v>
      </c>
    </row>
    <row r="13" spans="1:7" ht="15" customHeight="1">
      <c r="A13" s="46" t="s">
        <v>119</v>
      </c>
      <c r="B13" s="27">
        <v>144</v>
      </c>
      <c r="C13" s="27" t="s">
        <v>6</v>
      </c>
      <c r="D13" s="27" t="s">
        <v>6</v>
      </c>
      <c r="E13" s="27" t="s">
        <v>6</v>
      </c>
    </row>
    <row r="15" spans="1:7" ht="15" customHeight="1">
      <c r="A15" s="24" t="s">
        <v>306</v>
      </c>
    </row>
    <row r="16" spans="1:7" ht="15.75" customHeight="1">
      <c r="A16" s="2" t="s">
        <v>88</v>
      </c>
      <c r="B16" s="2" t="s">
        <v>89</v>
      </c>
      <c r="C16" s="2" t="s">
        <v>90</v>
      </c>
      <c r="D16" s="2" t="s">
        <v>91</v>
      </c>
      <c r="E16" s="2" t="s">
        <v>92</v>
      </c>
    </row>
    <row r="17" spans="1:14" ht="15" customHeight="1">
      <c r="A17" s="28" t="s">
        <v>121</v>
      </c>
      <c r="B17" s="3">
        <v>100</v>
      </c>
      <c r="C17" s="23" t="s">
        <v>6</v>
      </c>
      <c r="D17" s="23" t="s">
        <v>6</v>
      </c>
      <c r="E17" s="23" t="s">
        <v>6</v>
      </c>
    </row>
    <row r="18" spans="1:14" ht="15" customHeight="1">
      <c r="A18" s="28" t="s">
        <v>123</v>
      </c>
      <c r="B18" s="3">
        <v>9</v>
      </c>
      <c r="C18" s="23" t="s">
        <v>6</v>
      </c>
      <c r="D18" s="23" t="s">
        <v>6</v>
      </c>
      <c r="E18" s="23" t="s">
        <v>6</v>
      </c>
      <c r="I18" s="66" t="s">
        <v>307</v>
      </c>
      <c r="J18" s="66"/>
      <c r="K18" s="66"/>
      <c r="L18" s="66"/>
      <c r="M18" s="66"/>
      <c r="N18" s="66"/>
    </row>
    <row r="19" spans="1:14" ht="15" customHeight="1">
      <c r="A19" s="28" t="s">
        <v>124</v>
      </c>
      <c r="B19" s="3">
        <v>3</v>
      </c>
      <c r="C19" s="23" t="s">
        <v>6</v>
      </c>
      <c r="D19" s="23" t="s">
        <v>6</v>
      </c>
      <c r="E19" s="23" t="s">
        <v>6</v>
      </c>
      <c r="I19" s="66"/>
      <c r="J19" s="66"/>
      <c r="K19" s="66"/>
      <c r="L19" s="66"/>
      <c r="M19" s="66"/>
      <c r="N19" s="66"/>
    </row>
    <row r="20" spans="1:14" ht="15" customHeight="1">
      <c r="A20" s="28" t="s">
        <v>127</v>
      </c>
      <c r="B20" s="3">
        <v>14</v>
      </c>
      <c r="C20" s="23" t="s">
        <v>6</v>
      </c>
      <c r="D20" s="23" t="s">
        <v>6</v>
      </c>
      <c r="E20" s="23" t="s">
        <v>6</v>
      </c>
    </row>
    <row r="21" spans="1:14" ht="15" customHeight="1">
      <c r="A21" s="28" t="s">
        <v>125</v>
      </c>
      <c r="B21" s="3">
        <v>22</v>
      </c>
      <c r="C21" s="23" t="s">
        <v>6</v>
      </c>
      <c r="D21" s="23" t="s">
        <v>6</v>
      </c>
      <c r="E21" s="23" t="s">
        <v>6</v>
      </c>
    </row>
    <row r="22" spans="1:14" ht="15" customHeight="1">
      <c r="A22" s="28" t="s">
        <v>134</v>
      </c>
      <c r="B22" s="3">
        <v>5</v>
      </c>
      <c r="C22" s="23" t="s">
        <v>6</v>
      </c>
      <c r="D22" s="23" t="s">
        <v>6</v>
      </c>
      <c r="E22" s="23" t="s">
        <v>6</v>
      </c>
    </row>
    <row r="23" spans="1:14" ht="15" customHeight="1">
      <c r="A23" s="28" t="s">
        <v>308</v>
      </c>
      <c r="B23" s="3">
        <v>26</v>
      </c>
      <c r="C23" s="23" t="s">
        <v>6</v>
      </c>
      <c r="D23" s="23" t="s">
        <v>6</v>
      </c>
      <c r="E23" s="23" t="s">
        <v>6</v>
      </c>
    </row>
    <row r="24" spans="1:14" ht="15" customHeight="1">
      <c r="A24" s="28" t="s">
        <v>309</v>
      </c>
      <c r="B24" s="3">
        <v>19</v>
      </c>
      <c r="C24" s="23" t="s">
        <v>6</v>
      </c>
      <c r="D24" s="23" t="s">
        <v>6</v>
      </c>
      <c r="E24" s="23" t="s">
        <v>6</v>
      </c>
    </row>
    <row r="25" spans="1:14" ht="15" customHeight="1">
      <c r="A25" s="28" t="s">
        <v>131</v>
      </c>
      <c r="B25" s="3">
        <v>4</v>
      </c>
      <c r="C25" s="23" t="s">
        <v>6</v>
      </c>
      <c r="D25" s="23" t="s">
        <v>6</v>
      </c>
      <c r="E25" s="23" t="s">
        <v>6</v>
      </c>
    </row>
    <row r="26" spans="1:14" ht="15" customHeight="1">
      <c r="A26" s="28" t="s">
        <v>297</v>
      </c>
      <c r="B26" s="3">
        <v>2</v>
      </c>
      <c r="C26" s="23" t="s">
        <v>6</v>
      </c>
      <c r="D26" s="23" t="s">
        <v>6</v>
      </c>
      <c r="E26" s="23" t="s">
        <v>6</v>
      </c>
    </row>
    <row r="27" spans="1:14" ht="15" customHeight="1">
      <c r="A27" s="28" t="s">
        <v>135</v>
      </c>
      <c r="B27" s="3">
        <v>1</v>
      </c>
      <c r="C27" s="23" t="s">
        <v>6</v>
      </c>
      <c r="D27" s="23" t="s">
        <v>6</v>
      </c>
      <c r="E27" s="23" t="s">
        <v>6</v>
      </c>
    </row>
    <row r="28" spans="1:14" ht="15" customHeight="1">
      <c r="A28" s="46" t="s">
        <v>119</v>
      </c>
      <c r="B28" s="27">
        <v>205</v>
      </c>
      <c r="C28" s="27" t="s">
        <v>6</v>
      </c>
      <c r="D28" s="27" t="s">
        <v>6</v>
      </c>
      <c r="E28" s="27" t="s">
        <v>6</v>
      </c>
    </row>
    <row r="30" spans="1:14" ht="23.25" customHeight="1">
      <c r="A30" s="65" t="s">
        <v>310</v>
      </c>
      <c r="B30" s="65"/>
      <c r="C30" s="65"/>
      <c r="D30" s="65"/>
      <c r="E30" s="65"/>
    </row>
    <row r="35" spans="9:14" ht="15" customHeight="1">
      <c r="I35" s="66" t="s">
        <v>311</v>
      </c>
      <c r="J35" s="66"/>
      <c r="K35" s="66"/>
      <c r="L35" s="66"/>
      <c r="M35" s="66"/>
      <c r="N35" s="66"/>
    </row>
    <row r="36" spans="9:14">
      <c r="I36" s="66"/>
      <c r="J36" s="66"/>
      <c r="K36" s="66"/>
      <c r="L36" s="66"/>
      <c r="M36" s="66"/>
      <c r="N36" s="66"/>
    </row>
  </sheetData>
  <mergeCells count="5">
    <mergeCell ref="A1:F1"/>
    <mergeCell ref="A2:F2"/>
    <mergeCell ref="I18:N19"/>
    <mergeCell ref="A30:E30"/>
    <mergeCell ref="I35:N36"/>
  </mergeCells>
  <hyperlinks>
    <hyperlink ref="G1" r:id="rId1" location="'ملخص%20عام'!A1" xr:uid="{00000000-0004-0000-1800-000000000000}"/>
  </hyperlinks>
  <pageMargins left="0.75" right="0.75" top="1" bottom="1" header="0.511811023622047" footer="0.511811023622047"/>
  <pageSetup paperSize="9" orientation="portrait" horizontalDpi="300" verticalDpi="30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19"/>
  <sheetViews>
    <sheetView rightToLeft="1" zoomScaleNormal="100" workbookViewId="0">
      <selection sqref="A1:F1"/>
    </sheetView>
  </sheetViews>
  <sheetFormatPr defaultColWidth="8.7109375" defaultRowHeight="15"/>
  <cols>
    <col min="1" max="1" width="42" customWidth="1"/>
    <col min="2" max="5" width="14" customWidth="1"/>
  </cols>
  <sheetData>
    <row r="1" spans="1:7" ht="18" customHeight="1">
      <c r="A1" s="64" t="s">
        <v>312</v>
      </c>
      <c r="B1" s="64"/>
      <c r="C1" s="64"/>
      <c r="D1" s="64"/>
      <c r="E1" s="64"/>
      <c r="F1" s="64"/>
      <c r="G1" s="21" t="s">
        <v>86</v>
      </c>
    </row>
    <row r="2" spans="1:7" ht="15" customHeight="1">
      <c r="A2" s="65" t="s">
        <v>313</v>
      </c>
      <c r="B2" s="65"/>
      <c r="C2" s="65"/>
      <c r="D2" s="65"/>
      <c r="E2" s="65"/>
      <c r="F2" s="65"/>
    </row>
    <row r="4" spans="1:7" ht="15.75" customHeight="1">
      <c r="A4" s="2" t="s">
        <v>88</v>
      </c>
      <c r="B4" s="2" t="s">
        <v>89</v>
      </c>
      <c r="C4" s="2" t="s">
        <v>90</v>
      </c>
      <c r="D4" s="2" t="s">
        <v>91</v>
      </c>
      <c r="E4" s="2" t="s">
        <v>92</v>
      </c>
    </row>
    <row r="5" spans="1:7" ht="15" customHeight="1">
      <c r="A5" s="22" t="s">
        <v>314</v>
      </c>
      <c r="B5" s="3">
        <v>7</v>
      </c>
      <c r="C5" s="3">
        <v>3</v>
      </c>
      <c r="D5" s="3">
        <v>2</v>
      </c>
      <c r="E5" s="3">
        <v>8</v>
      </c>
    </row>
    <row r="6" spans="1:7" ht="15" customHeight="1">
      <c r="A6" s="8" t="s">
        <v>315</v>
      </c>
      <c r="B6" s="3">
        <v>13</v>
      </c>
      <c r="C6" s="3">
        <v>5</v>
      </c>
      <c r="D6" s="3">
        <v>2</v>
      </c>
      <c r="E6" s="3">
        <v>8</v>
      </c>
    </row>
    <row r="18" spans="9:14" ht="15" customHeight="1">
      <c r="I18" s="66" t="s">
        <v>316</v>
      </c>
      <c r="J18" s="66"/>
      <c r="K18" s="66"/>
      <c r="L18" s="66"/>
      <c r="M18" s="66"/>
      <c r="N18" s="66"/>
    </row>
    <row r="19" spans="9:14">
      <c r="I19" s="66"/>
      <c r="J19" s="66"/>
      <c r="K19" s="66"/>
      <c r="L19" s="66"/>
      <c r="M19" s="66"/>
      <c r="N19" s="66"/>
    </row>
  </sheetData>
  <mergeCells count="3">
    <mergeCell ref="A1:F1"/>
    <mergeCell ref="A2:F2"/>
    <mergeCell ref="I18:N19"/>
  </mergeCells>
  <hyperlinks>
    <hyperlink ref="G1" r:id="rId1" location="'ملخص%20عام'!A1" xr:uid="{00000000-0004-0000-1900-000000000000}"/>
  </hyperlinks>
  <pageMargins left="0.75" right="0.75" top="1" bottom="1" header="0.511811023622047" footer="0.511811023622047"/>
  <pageSetup paperSize="9" orientation="portrait" horizontalDpi="300" verticalDpi="30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9"/>
  <sheetViews>
    <sheetView rightToLeft="1" zoomScaleNormal="100" workbookViewId="0">
      <selection activeCell="D14" sqref="D14"/>
    </sheetView>
  </sheetViews>
  <sheetFormatPr defaultColWidth="8.7109375" defaultRowHeight="15"/>
  <cols>
    <col min="1" max="1" width="50" customWidth="1"/>
    <col min="2" max="5" width="16" customWidth="1"/>
  </cols>
  <sheetData>
    <row r="1" spans="1:7" ht="18" customHeight="1">
      <c r="A1" s="64" t="s">
        <v>317</v>
      </c>
      <c r="B1" s="64"/>
      <c r="C1" s="64"/>
      <c r="D1" s="64"/>
      <c r="E1" s="64"/>
      <c r="F1" s="64"/>
      <c r="G1" s="21" t="s">
        <v>86</v>
      </c>
    </row>
    <row r="2" spans="1:7" ht="15" customHeight="1">
      <c r="A2" s="65" t="s">
        <v>318</v>
      </c>
      <c r="B2" s="65"/>
      <c r="C2" s="65"/>
      <c r="D2" s="65"/>
      <c r="E2" s="65"/>
      <c r="F2" s="65"/>
    </row>
    <row r="4" spans="1:7" ht="15.75" customHeight="1">
      <c r="A4" s="2" t="s">
        <v>88</v>
      </c>
      <c r="B4" s="2" t="s">
        <v>89</v>
      </c>
      <c r="C4" s="2" t="s">
        <v>90</v>
      </c>
      <c r="D4" s="2" t="s">
        <v>91</v>
      </c>
      <c r="E4" s="2" t="s">
        <v>92</v>
      </c>
    </row>
    <row r="5" spans="1:7" ht="15" customHeight="1">
      <c r="A5" s="28" t="s">
        <v>319</v>
      </c>
      <c r="B5" s="23" t="s">
        <v>6</v>
      </c>
      <c r="C5" s="3">
        <v>342</v>
      </c>
      <c r="D5" s="3">
        <v>300</v>
      </c>
      <c r="E5" s="23" t="s">
        <v>6</v>
      </c>
    </row>
    <row r="6" spans="1:7" ht="15" customHeight="1">
      <c r="A6" s="28" t="s">
        <v>320</v>
      </c>
      <c r="B6" s="23" t="s">
        <v>6</v>
      </c>
      <c r="C6" s="3">
        <v>487</v>
      </c>
      <c r="D6" s="3">
        <v>530</v>
      </c>
      <c r="E6" s="23" t="s">
        <v>6</v>
      </c>
    </row>
    <row r="7" spans="1:7" ht="15" customHeight="1">
      <c r="A7" s="28" t="s">
        <v>321</v>
      </c>
      <c r="B7" s="23" t="s">
        <v>6</v>
      </c>
      <c r="C7" s="3">
        <v>3</v>
      </c>
      <c r="D7" s="23">
        <v>0</v>
      </c>
      <c r="E7" s="23" t="s">
        <v>6</v>
      </c>
    </row>
    <row r="8" spans="1:7" ht="15" customHeight="1">
      <c r="A8" s="28" t="s">
        <v>322</v>
      </c>
      <c r="B8" s="23" t="s">
        <v>6</v>
      </c>
      <c r="C8" s="3" t="s">
        <v>323</v>
      </c>
      <c r="D8" s="23">
        <v>0</v>
      </c>
      <c r="E8" s="23" t="s">
        <v>6</v>
      </c>
    </row>
    <row r="9" spans="1:7" ht="15" customHeight="1">
      <c r="A9" s="28" t="s">
        <v>324</v>
      </c>
      <c r="B9" s="23" t="s">
        <v>6</v>
      </c>
      <c r="C9" s="3">
        <v>17</v>
      </c>
      <c r="D9" s="3">
        <v>1</v>
      </c>
      <c r="E9" s="23" t="s">
        <v>6</v>
      </c>
    </row>
    <row r="10" spans="1:7" ht="15" customHeight="1">
      <c r="A10" s="28" t="s">
        <v>325</v>
      </c>
      <c r="B10" s="23" t="s">
        <v>6</v>
      </c>
      <c r="C10" s="3">
        <v>18</v>
      </c>
      <c r="D10" s="3">
        <v>10</v>
      </c>
      <c r="E10" s="23" t="s">
        <v>6</v>
      </c>
    </row>
    <row r="11" spans="1:7" ht="15" customHeight="1">
      <c r="A11" s="28" t="s">
        <v>326</v>
      </c>
      <c r="B11" s="23" t="s">
        <v>6</v>
      </c>
      <c r="C11" s="3">
        <v>1</v>
      </c>
      <c r="D11" s="23">
        <v>0</v>
      </c>
      <c r="E11" s="23" t="s">
        <v>6</v>
      </c>
    </row>
    <row r="12" spans="1:7" ht="15" customHeight="1">
      <c r="A12" s="28" t="s">
        <v>327</v>
      </c>
      <c r="B12" s="23" t="s">
        <v>6</v>
      </c>
      <c r="C12" s="23">
        <v>0</v>
      </c>
      <c r="D12" s="3">
        <v>1</v>
      </c>
      <c r="E12" s="23" t="s">
        <v>6</v>
      </c>
    </row>
    <row r="13" spans="1:7" ht="15" customHeight="1">
      <c r="A13" s="28" t="s">
        <v>328</v>
      </c>
      <c r="B13" s="23" t="s">
        <v>6</v>
      </c>
      <c r="C13" s="23">
        <v>0</v>
      </c>
      <c r="D13" s="3" t="s">
        <v>329</v>
      </c>
      <c r="E13" s="23" t="s">
        <v>6</v>
      </c>
    </row>
    <row r="14" spans="1:7" ht="15" customHeight="1">
      <c r="A14" s="28" t="s">
        <v>330</v>
      </c>
      <c r="B14" s="23" t="s">
        <v>6</v>
      </c>
      <c r="C14" s="23">
        <v>0</v>
      </c>
      <c r="D14" s="3">
        <v>2</v>
      </c>
      <c r="E14" s="23" t="s">
        <v>6</v>
      </c>
    </row>
    <row r="15" spans="1:7" ht="15" customHeight="1">
      <c r="A15" s="28" t="s">
        <v>331</v>
      </c>
      <c r="B15" s="23" t="s">
        <v>6</v>
      </c>
      <c r="C15" s="3" t="s">
        <v>329</v>
      </c>
      <c r="D15" s="3" t="s">
        <v>329</v>
      </c>
      <c r="E15" s="23" t="s">
        <v>6</v>
      </c>
    </row>
    <row r="16" spans="1:7" ht="15" customHeight="1">
      <c r="A16" s="28" t="s">
        <v>332</v>
      </c>
      <c r="B16" s="23" t="s">
        <v>6</v>
      </c>
      <c r="C16" s="3" t="s">
        <v>329</v>
      </c>
      <c r="D16" s="23">
        <v>0</v>
      </c>
      <c r="E16" s="23" t="s">
        <v>6</v>
      </c>
    </row>
    <row r="17" spans="1:14" ht="15" customHeight="1">
      <c r="A17" s="28" t="s">
        <v>333</v>
      </c>
      <c r="B17" s="23" t="s">
        <v>6</v>
      </c>
      <c r="C17" s="23">
        <v>0</v>
      </c>
      <c r="D17" s="3">
        <v>14</v>
      </c>
      <c r="E17" s="23" t="s">
        <v>6</v>
      </c>
    </row>
    <row r="18" spans="1:14" ht="15" customHeight="1">
      <c r="I18" s="66" t="s">
        <v>334</v>
      </c>
      <c r="J18" s="66"/>
      <c r="K18" s="66"/>
      <c r="L18" s="66"/>
      <c r="M18" s="66"/>
      <c r="N18" s="66"/>
    </row>
    <row r="19" spans="1:14" ht="34.5" customHeight="1">
      <c r="A19" s="65" t="s">
        <v>335</v>
      </c>
      <c r="B19" s="65"/>
      <c r="C19" s="65"/>
      <c r="D19" s="65"/>
      <c r="E19" s="65"/>
      <c r="I19" s="66"/>
      <c r="J19" s="66"/>
      <c r="K19" s="66"/>
      <c r="L19" s="66"/>
      <c r="M19" s="66"/>
      <c r="N19" s="66"/>
    </row>
  </sheetData>
  <mergeCells count="4">
    <mergeCell ref="A1:F1"/>
    <mergeCell ref="A2:F2"/>
    <mergeCell ref="I18:N19"/>
    <mergeCell ref="A19:E19"/>
  </mergeCells>
  <hyperlinks>
    <hyperlink ref="G1" r:id="rId1" location="'ملخص%20عام'!A1" xr:uid="{00000000-0004-0000-1A00-000000000000}"/>
  </hyperlinks>
  <pageMargins left="0.75" right="0.75" top="1" bottom="1" header="0.511811023622047" footer="0.511811023622047"/>
  <pageSetup paperSize="9" orientation="portrait" horizontalDpi="300" verticalDpi="30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6"/>
  <sheetViews>
    <sheetView rightToLeft="1" zoomScaleNormal="100" workbookViewId="0"/>
  </sheetViews>
  <sheetFormatPr defaultColWidth="8.7109375" defaultRowHeight="15"/>
  <cols>
    <col min="1" max="1" width="50" customWidth="1"/>
    <col min="2" max="5" width="16" customWidth="1"/>
  </cols>
  <sheetData>
    <row r="1" spans="1:7" ht="18" customHeight="1">
      <c r="A1" s="64" t="s">
        <v>336</v>
      </c>
      <c r="B1" s="64"/>
      <c r="C1" s="64"/>
      <c r="D1" s="64"/>
      <c r="E1" s="64"/>
      <c r="F1" s="64"/>
      <c r="G1" s="21" t="s">
        <v>86</v>
      </c>
    </row>
    <row r="2" spans="1:7" ht="15" customHeight="1">
      <c r="A2" s="65" t="s">
        <v>337</v>
      </c>
      <c r="B2" s="65"/>
      <c r="C2" s="65"/>
      <c r="D2" s="65"/>
      <c r="E2" s="65"/>
      <c r="F2" s="65"/>
    </row>
    <row r="4" spans="1:7" ht="15" customHeight="1">
      <c r="A4" s="69" t="s">
        <v>338</v>
      </c>
      <c r="B4" s="69"/>
      <c r="C4" s="69"/>
      <c r="D4" s="69"/>
      <c r="E4" s="69"/>
    </row>
    <row r="5" spans="1:7" ht="15.75" customHeight="1">
      <c r="A5" s="2" t="s">
        <v>88</v>
      </c>
      <c r="B5" s="2" t="s">
        <v>89</v>
      </c>
      <c r="C5" s="2" t="s">
        <v>90</v>
      </c>
      <c r="D5" s="2" t="s">
        <v>91</v>
      </c>
      <c r="E5" s="2" t="s">
        <v>92</v>
      </c>
    </row>
    <row r="6" spans="1:7" ht="15" customHeight="1">
      <c r="A6" s="28" t="s">
        <v>339</v>
      </c>
      <c r="B6" s="47">
        <v>234</v>
      </c>
      <c r="C6" s="47">
        <v>197</v>
      </c>
      <c r="D6" s="47">
        <v>129</v>
      </c>
      <c r="E6" s="47">
        <v>153</v>
      </c>
    </row>
    <row r="7" spans="1:7" ht="15" customHeight="1">
      <c r="A7" s="28" t="s">
        <v>340</v>
      </c>
      <c r="B7" s="47">
        <v>325</v>
      </c>
      <c r="C7" s="47">
        <v>244</v>
      </c>
      <c r="D7" s="47">
        <v>151</v>
      </c>
      <c r="E7" s="47">
        <v>194</v>
      </c>
    </row>
    <row r="8" spans="1:7" ht="15" customHeight="1">
      <c r="A8" s="28" t="s">
        <v>341</v>
      </c>
      <c r="B8" s="47">
        <v>58</v>
      </c>
      <c r="C8" s="47">
        <v>32</v>
      </c>
      <c r="D8" s="47">
        <v>32</v>
      </c>
      <c r="E8" s="47">
        <v>38</v>
      </c>
    </row>
    <row r="9" spans="1:7" ht="15" customHeight="1">
      <c r="A9" s="28" t="s">
        <v>342</v>
      </c>
      <c r="B9" s="47">
        <v>141</v>
      </c>
      <c r="C9" s="47">
        <v>133</v>
      </c>
      <c r="D9" s="47">
        <v>103</v>
      </c>
      <c r="E9" s="47">
        <v>120</v>
      </c>
    </row>
    <row r="10" spans="1:7" ht="15" customHeight="1">
      <c r="A10" s="28" t="s">
        <v>343</v>
      </c>
      <c r="B10" s="47">
        <v>13</v>
      </c>
      <c r="C10" s="47">
        <v>5</v>
      </c>
      <c r="D10" s="47">
        <v>2</v>
      </c>
      <c r="E10" s="47">
        <v>8</v>
      </c>
    </row>
    <row r="11" spans="1:7" ht="15" customHeight="1">
      <c r="A11" s="28" t="s">
        <v>148</v>
      </c>
      <c r="B11" s="47">
        <v>229</v>
      </c>
      <c r="C11" s="47">
        <v>174</v>
      </c>
      <c r="D11" s="47">
        <v>143</v>
      </c>
      <c r="E11" s="47">
        <v>173</v>
      </c>
    </row>
    <row r="13" spans="1:7" ht="15" customHeight="1">
      <c r="A13" s="69" t="s">
        <v>344</v>
      </c>
      <c r="B13" s="69"/>
      <c r="C13" s="69"/>
      <c r="D13" s="69"/>
      <c r="E13" s="69"/>
    </row>
    <row r="14" spans="1:7" ht="15.75" customHeight="1">
      <c r="A14" s="2" t="s">
        <v>345</v>
      </c>
      <c r="B14" s="2" t="s">
        <v>89</v>
      </c>
      <c r="C14" s="2" t="s">
        <v>90</v>
      </c>
      <c r="D14" s="2" t="s">
        <v>91</v>
      </c>
      <c r="E14" s="2" t="s">
        <v>92</v>
      </c>
    </row>
    <row r="15" spans="1:7" ht="15" customHeight="1">
      <c r="A15" s="28" t="s">
        <v>346</v>
      </c>
      <c r="B15" s="48">
        <f>B8/B6</f>
        <v>0.24786324786324787</v>
      </c>
      <c r="C15" s="48">
        <f>C8/C6</f>
        <v>0.16243654822335024</v>
      </c>
      <c r="D15" s="48">
        <f>D8/D6</f>
        <v>0.24806201550387597</v>
      </c>
      <c r="E15" s="48">
        <f>E8/E6</f>
        <v>0.24836601307189543</v>
      </c>
    </row>
    <row r="16" spans="1:7" ht="15" customHeight="1">
      <c r="A16" s="28" t="s">
        <v>347</v>
      </c>
      <c r="B16" s="48">
        <f>B9/B6</f>
        <v>0.60256410256410253</v>
      </c>
      <c r="C16" s="48">
        <f>C9/C6</f>
        <v>0.67512690355329952</v>
      </c>
      <c r="D16" s="48">
        <f>D9/D6</f>
        <v>0.79844961240310075</v>
      </c>
      <c r="E16" s="48">
        <f>E9/E6</f>
        <v>0.78431372549019607</v>
      </c>
    </row>
    <row r="17" spans="1:14" ht="15" customHeight="1">
      <c r="A17" s="28" t="s">
        <v>348</v>
      </c>
      <c r="B17" s="48">
        <f>B10/B6</f>
        <v>5.5555555555555552E-2</v>
      </c>
      <c r="C17" s="48">
        <f>C10/C6</f>
        <v>2.5380710659898477E-2</v>
      </c>
      <c r="D17" s="48">
        <f>D10/D6</f>
        <v>1.5503875968992248E-2</v>
      </c>
      <c r="E17" s="48">
        <f>E10/E6</f>
        <v>5.2287581699346407E-2</v>
      </c>
    </row>
    <row r="18" spans="1:14" ht="15" customHeight="1">
      <c r="A18" s="28" t="s">
        <v>349</v>
      </c>
      <c r="B18" s="3">
        <f>B7/B6</f>
        <v>1.3888888888888888</v>
      </c>
      <c r="C18" s="3">
        <f>C7/C6</f>
        <v>1.2385786802030456</v>
      </c>
      <c r="D18" s="3">
        <f>D7/D6</f>
        <v>1.1705426356589148</v>
      </c>
      <c r="E18" s="3">
        <f>E7/E6</f>
        <v>1.2679738562091503</v>
      </c>
      <c r="I18" s="66" t="s">
        <v>350</v>
      </c>
      <c r="J18" s="66"/>
      <c r="K18" s="66"/>
      <c r="L18" s="66"/>
      <c r="M18" s="66"/>
      <c r="N18" s="66"/>
    </row>
    <row r="19" spans="1:14" ht="15" customHeight="1">
      <c r="A19" s="28" t="s">
        <v>351</v>
      </c>
      <c r="B19" s="48">
        <f>B11/B6</f>
        <v>0.9786324786324786</v>
      </c>
      <c r="C19" s="48">
        <f>C11/C6</f>
        <v>0.88324873096446699</v>
      </c>
      <c r="D19" s="48">
        <f>D11/D6</f>
        <v>1.1085271317829457</v>
      </c>
      <c r="E19" s="48">
        <f>E11/E6</f>
        <v>1.130718954248366</v>
      </c>
      <c r="I19" s="66"/>
      <c r="J19" s="66"/>
      <c r="K19" s="66"/>
      <c r="L19" s="66"/>
      <c r="M19" s="66"/>
      <c r="N19" s="66"/>
    </row>
    <row r="20" spans="1:14" ht="15" customHeight="1">
      <c r="A20" s="28" t="s">
        <v>352</v>
      </c>
      <c r="B20" s="23" t="s">
        <v>6</v>
      </c>
      <c r="C20" s="48">
        <f>(C6-B6)/B6</f>
        <v>-0.15811965811965811</v>
      </c>
      <c r="D20" s="48">
        <f>(D6-C6)/C6</f>
        <v>-0.34517766497461927</v>
      </c>
      <c r="E20" s="48">
        <f>(E6-D6)/D6</f>
        <v>0.18604651162790697</v>
      </c>
    </row>
    <row r="21" spans="1:14" ht="26.25" customHeight="1">
      <c r="A21" s="28" t="s">
        <v>353</v>
      </c>
      <c r="B21" s="3">
        <f>B6-B11</f>
        <v>5</v>
      </c>
      <c r="C21" s="3">
        <f>C6-C11</f>
        <v>23</v>
      </c>
      <c r="D21" s="3">
        <f>D6-D11</f>
        <v>-14</v>
      </c>
      <c r="E21" s="3">
        <f>E6-E11</f>
        <v>-20</v>
      </c>
    </row>
    <row r="23" spans="1:14" ht="23.25" customHeight="1">
      <c r="A23" s="65" t="s">
        <v>354</v>
      </c>
      <c r="B23" s="65"/>
      <c r="C23" s="65"/>
      <c r="D23" s="65"/>
      <c r="E23" s="65"/>
    </row>
    <row r="35" spans="9:14" ht="15" customHeight="1">
      <c r="I35" s="66" t="s">
        <v>355</v>
      </c>
      <c r="J35" s="66"/>
      <c r="K35" s="66"/>
      <c r="L35" s="66"/>
      <c r="M35" s="66"/>
      <c r="N35" s="66"/>
    </row>
    <row r="36" spans="9:14">
      <c r="I36" s="66"/>
      <c r="J36" s="66"/>
      <c r="K36" s="66"/>
      <c r="L36" s="66"/>
      <c r="M36" s="66"/>
      <c r="N36" s="66"/>
    </row>
  </sheetData>
  <mergeCells count="7">
    <mergeCell ref="A23:E23"/>
    <mergeCell ref="I35:N36"/>
    <mergeCell ref="A1:F1"/>
    <mergeCell ref="A2:F2"/>
    <mergeCell ref="A4:E4"/>
    <mergeCell ref="A13:E13"/>
    <mergeCell ref="I18:N19"/>
  </mergeCells>
  <hyperlinks>
    <hyperlink ref="G1" r:id="rId1" location="'ملخص%20عام'!A1" xr:uid="{00000000-0004-0000-1B00-000000000000}"/>
  </hyperlinks>
  <pageMargins left="0.75" right="0.75" top="1" bottom="1" header="0.511811023622047" footer="0.511811023622047"/>
  <pageSetup paperSize="9" orientation="portrait" horizontalDpi="300" verticalDpi="30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19"/>
  <sheetViews>
    <sheetView rightToLeft="1" zoomScaleNormal="100" workbookViewId="0">
      <selection activeCell="A8" sqref="A8"/>
    </sheetView>
  </sheetViews>
  <sheetFormatPr defaultColWidth="8.7109375" defaultRowHeight="15"/>
  <cols>
    <col min="1" max="1" width="42" customWidth="1"/>
    <col min="2" max="5" width="14" customWidth="1"/>
  </cols>
  <sheetData>
    <row r="1" spans="1:7" ht="18" customHeight="1">
      <c r="A1" s="64" t="s">
        <v>356</v>
      </c>
      <c r="B1" s="64"/>
      <c r="C1" s="64"/>
      <c r="D1" s="64"/>
      <c r="E1" s="64"/>
      <c r="F1" s="64"/>
      <c r="G1" s="21" t="s">
        <v>86</v>
      </c>
    </row>
    <row r="2" spans="1:7" ht="15" customHeight="1">
      <c r="A2" s="65" t="s">
        <v>357</v>
      </c>
      <c r="B2" s="65"/>
      <c r="C2" s="65"/>
      <c r="D2" s="65"/>
      <c r="E2" s="65"/>
      <c r="F2" s="65"/>
    </row>
    <row r="4" spans="1:7" ht="17.25" customHeight="1">
      <c r="A4" s="2" t="s">
        <v>88</v>
      </c>
      <c r="B4" s="2" t="s">
        <v>89</v>
      </c>
      <c r="C4" s="2" t="s">
        <v>90</v>
      </c>
      <c r="D4" s="2" t="s">
        <v>91</v>
      </c>
      <c r="E4" s="2" t="s">
        <v>92</v>
      </c>
    </row>
    <row r="5" spans="1:7" ht="15" customHeight="1">
      <c r="A5" s="22" t="s">
        <v>358</v>
      </c>
      <c r="B5" s="3">
        <v>6</v>
      </c>
      <c r="C5" s="3">
        <v>1</v>
      </c>
      <c r="D5" s="49" t="s">
        <v>6</v>
      </c>
      <c r="E5" s="3">
        <v>2</v>
      </c>
    </row>
    <row r="6" spans="1:7" ht="15" customHeight="1">
      <c r="A6" s="8" t="s">
        <v>150</v>
      </c>
      <c r="B6" s="3">
        <v>6</v>
      </c>
      <c r="C6" s="3">
        <v>1</v>
      </c>
      <c r="D6" s="3" t="s">
        <v>6</v>
      </c>
      <c r="E6" s="23">
        <v>2</v>
      </c>
    </row>
    <row r="8" spans="1:7" ht="34.5" customHeight="1">
      <c r="A8" s="65" t="s">
        <v>359</v>
      </c>
      <c r="B8" s="65"/>
      <c r="C8" s="65"/>
      <c r="D8" s="65"/>
      <c r="E8" s="65"/>
    </row>
    <row r="18" spans="9:14" ht="15" customHeight="1">
      <c r="I18" s="66" t="s">
        <v>360</v>
      </c>
      <c r="J18" s="66"/>
      <c r="K18" s="66"/>
      <c r="L18" s="66"/>
      <c r="M18" s="66"/>
      <c r="N18" s="66"/>
    </row>
    <row r="19" spans="9:14">
      <c r="I19" s="66"/>
      <c r="J19" s="66"/>
      <c r="K19" s="66"/>
      <c r="L19" s="66"/>
      <c r="M19" s="66"/>
      <c r="N19" s="66"/>
    </row>
  </sheetData>
  <mergeCells count="4">
    <mergeCell ref="A1:F1"/>
    <mergeCell ref="A2:F2"/>
    <mergeCell ref="A8:E8"/>
    <mergeCell ref="I18:N19"/>
  </mergeCells>
  <hyperlinks>
    <hyperlink ref="G1" r:id="rId1" location="'ملخص%20عام'!A1" xr:uid="{00000000-0004-0000-1C00-000000000000}"/>
  </hyperlinks>
  <pageMargins left="0.75" right="0.75" top="1" bottom="1" header="0.511811023622047" footer="0.511811023622047"/>
  <pageSetup paperSize="9" orientation="portrait" horizontalDpi="300" verticalDpi="30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FD36"/>
  <sheetViews>
    <sheetView rightToLeft="1" zoomScaleNormal="100" workbookViewId="0">
      <selection activeCell="A6" sqref="A6"/>
    </sheetView>
  </sheetViews>
  <sheetFormatPr defaultColWidth="8.7109375" defaultRowHeight="15"/>
  <cols>
    <col min="1" max="1" width="90.85546875" customWidth="1"/>
    <col min="2" max="5" width="14" customWidth="1"/>
  </cols>
  <sheetData>
    <row r="1" spans="1:7" ht="18" customHeight="1">
      <c r="A1" s="82" t="s">
        <v>361</v>
      </c>
      <c r="B1" s="82"/>
      <c r="C1" s="82"/>
      <c r="D1" s="82"/>
      <c r="E1" s="82"/>
      <c r="F1" s="82"/>
      <c r="G1" s="50" t="s">
        <v>86</v>
      </c>
    </row>
    <row r="2" spans="1:7" ht="15" customHeight="1">
      <c r="A2" s="51"/>
      <c r="B2" s="51"/>
      <c r="C2" s="51"/>
      <c r="D2" s="51"/>
      <c r="E2" s="51"/>
      <c r="F2" s="51"/>
      <c r="G2" s="51"/>
    </row>
    <row r="3" spans="1:7" ht="15" customHeight="1">
      <c r="A3" s="83" t="s">
        <v>362</v>
      </c>
      <c r="B3" s="83"/>
      <c r="C3" s="83"/>
      <c r="D3" s="83"/>
      <c r="E3" s="83"/>
      <c r="F3" s="83"/>
      <c r="G3" s="51"/>
    </row>
    <row r="4" spans="1:7" ht="15" customHeight="1">
      <c r="A4" s="11" t="s">
        <v>363</v>
      </c>
      <c r="B4" s="51"/>
      <c r="C4" s="51"/>
      <c r="G4" s="51"/>
    </row>
    <row r="5" spans="1:7" ht="15.75" customHeight="1">
      <c r="A5" s="2" t="s">
        <v>364</v>
      </c>
      <c r="B5" s="2" t="s">
        <v>89</v>
      </c>
      <c r="C5" s="2" t="s">
        <v>90</v>
      </c>
      <c r="D5" s="2" t="s">
        <v>91</v>
      </c>
      <c r="E5" s="2" t="s">
        <v>92</v>
      </c>
      <c r="F5" s="51"/>
      <c r="G5" s="51"/>
    </row>
    <row r="6" spans="1:7" ht="15" customHeight="1">
      <c r="A6" s="8" t="s">
        <v>365</v>
      </c>
      <c r="B6" s="3">
        <v>61</v>
      </c>
      <c r="C6" s="3">
        <v>33</v>
      </c>
      <c r="D6" s="3">
        <v>38</v>
      </c>
      <c r="E6" s="23">
        <v>38</v>
      </c>
      <c r="F6" s="51"/>
      <c r="G6" s="51"/>
    </row>
    <row r="7" spans="1:7" ht="15" customHeight="1">
      <c r="A7" s="22" t="s">
        <v>366</v>
      </c>
      <c r="B7" s="3">
        <v>148</v>
      </c>
      <c r="C7" s="3">
        <v>135</v>
      </c>
      <c r="D7" s="49">
        <v>103</v>
      </c>
      <c r="E7" s="3">
        <v>125</v>
      </c>
      <c r="F7" s="51"/>
      <c r="G7" s="51"/>
    </row>
    <row r="8" spans="1:7" ht="15" customHeight="1">
      <c r="A8" s="22" t="s">
        <v>367</v>
      </c>
      <c r="B8" s="3">
        <v>13</v>
      </c>
      <c r="C8" s="3">
        <v>5</v>
      </c>
      <c r="D8" s="49">
        <v>2</v>
      </c>
      <c r="E8" s="3">
        <v>8</v>
      </c>
      <c r="F8" s="51"/>
      <c r="G8" s="51"/>
    </row>
    <row r="9" spans="1:7" ht="15" customHeight="1">
      <c r="A9" s="8" t="s">
        <v>368</v>
      </c>
      <c r="B9" s="3">
        <v>6</v>
      </c>
      <c r="C9" s="3">
        <v>1</v>
      </c>
      <c r="D9" s="3" t="s">
        <v>6</v>
      </c>
      <c r="E9" s="23">
        <v>2</v>
      </c>
      <c r="F9" s="51"/>
      <c r="G9" s="51"/>
    </row>
    <row r="10" spans="1:7" ht="15" customHeight="1">
      <c r="A10" s="8" t="s">
        <v>369</v>
      </c>
      <c r="B10" s="3">
        <v>228</v>
      </c>
      <c r="C10" s="3">
        <v>174</v>
      </c>
      <c r="D10" s="3">
        <v>143</v>
      </c>
      <c r="E10" s="23">
        <v>173</v>
      </c>
      <c r="F10" s="51"/>
      <c r="G10" s="51"/>
    </row>
    <row r="11" spans="1:7" ht="15" customHeight="1">
      <c r="A11" s="22" t="s">
        <v>370</v>
      </c>
      <c r="B11" s="3">
        <v>229</v>
      </c>
      <c r="C11" s="3">
        <v>174</v>
      </c>
      <c r="D11" s="49">
        <v>143</v>
      </c>
      <c r="E11" s="3">
        <v>173</v>
      </c>
      <c r="F11" s="51"/>
      <c r="G11" s="51"/>
    </row>
    <row r="12" spans="1:7" ht="15" customHeight="1">
      <c r="A12" s="51"/>
      <c r="B12" s="51"/>
      <c r="C12" s="51"/>
      <c r="D12" s="51"/>
      <c r="E12" s="51"/>
      <c r="F12" s="51"/>
      <c r="G12" s="51"/>
    </row>
    <row r="13" spans="1:7" ht="15" customHeight="1">
      <c r="A13" s="52" t="s">
        <v>371</v>
      </c>
      <c r="B13" s="51"/>
      <c r="C13" s="51"/>
      <c r="D13" s="51"/>
      <c r="E13" s="53"/>
      <c r="F13" s="51"/>
      <c r="G13" s="51"/>
    </row>
    <row r="14" spans="1:7" ht="15.75" customHeight="1">
      <c r="A14" s="2" t="s">
        <v>364</v>
      </c>
      <c r="B14" s="2" t="s">
        <v>89</v>
      </c>
      <c r="C14" s="2" t="s">
        <v>90</v>
      </c>
      <c r="D14" s="2" t="s">
        <v>91</v>
      </c>
      <c r="E14" s="2" t="s">
        <v>92</v>
      </c>
      <c r="F14" s="51"/>
      <c r="G14" s="51"/>
    </row>
    <row r="15" spans="1:7" ht="15" customHeight="1">
      <c r="A15" s="8" t="s">
        <v>365</v>
      </c>
      <c r="B15" s="3">
        <v>96</v>
      </c>
      <c r="C15" s="3">
        <v>40</v>
      </c>
      <c r="D15" s="3">
        <v>52</v>
      </c>
      <c r="E15" s="23">
        <v>39</v>
      </c>
      <c r="F15" s="51"/>
      <c r="G15" s="51"/>
    </row>
    <row r="16" spans="1:7" ht="15" customHeight="1">
      <c r="A16" s="22" t="s">
        <v>366</v>
      </c>
      <c r="B16" s="3">
        <v>181</v>
      </c>
      <c r="C16" s="3">
        <v>171</v>
      </c>
      <c r="D16" s="49">
        <v>116</v>
      </c>
      <c r="E16" s="3">
        <v>173</v>
      </c>
      <c r="F16" s="51"/>
      <c r="G16" s="51"/>
    </row>
    <row r="17" spans="1:16384" ht="15" customHeight="1">
      <c r="A17" s="22" t="s">
        <v>367</v>
      </c>
      <c r="B17" s="3">
        <v>14</v>
      </c>
      <c r="C17" s="3">
        <v>5</v>
      </c>
      <c r="D17" s="49">
        <v>2</v>
      </c>
      <c r="E17" s="3">
        <v>8</v>
      </c>
      <c r="F17" s="51"/>
      <c r="G17" s="51"/>
    </row>
    <row r="18" spans="1:16384" ht="15" customHeight="1">
      <c r="A18" s="8" t="s">
        <v>368</v>
      </c>
      <c r="B18" s="3">
        <v>6</v>
      </c>
      <c r="C18" s="3">
        <v>1</v>
      </c>
      <c r="D18" s="3">
        <v>2</v>
      </c>
      <c r="E18" s="23">
        <v>2</v>
      </c>
      <c r="F18" s="51"/>
      <c r="G18" s="51"/>
      <c r="I18" s="66" t="s">
        <v>372</v>
      </c>
      <c r="J18" s="66"/>
      <c r="K18" s="66"/>
      <c r="L18" s="66"/>
      <c r="M18" s="66"/>
      <c r="N18" s="66"/>
    </row>
    <row r="19" spans="1:16384" ht="15" customHeight="1">
      <c r="A19" s="8" t="s">
        <v>369</v>
      </c>
      <c r="B19" s="3">
        <v>297</v>
      </c>
      <c r="C19" s="3">
        <v>217</v>
      </c>
      <c r="D19" s="3">
        <v>170</v>
      </c>
      <c r="E19" s="23">
        <v>222</v>
      </c>
      <c r="F19" s="51"/>
      <c r="G19" s="51"/>
      <c r="I19" s="66"/>
      <c r="J19" s="66"/>
      <c r="K19" s="66"/>
      <c r="L19" s="66"/>
      <c r="M19" s="66"/>
      <c r="N19" s="66"/>
    </row>
    <row r="20" spans="1:16384" ht="15" customHeight="1">
      <c r="A20" s="22" t="s">
        <v>370</v>
      </c>
      <c r="B20" s="3">
        <v>298</v>
      </c>
      <c r="C20" s="3">
        <v>217</v>
      </c>
      <c r="D20" s="49">
        <v>170</v>
      </c>
      <c r="E20" s="3">
        <v>222</v>
      </c>
      <c r="F20" s="51"/>
      <c r="G20" s="51"/>
    </row>
    <row r="21" spans="1:16384" ht="15" customHeight="1">
      <c r="A21" s="51"/>
      <c r="B21" s="51"/>
      <c r="C21" s="51"/>
      <c r="D21" s="51"/>
      <c r="E21" s="51"/>
      <c r="F21" s="51"/>
      <c r="G21" s="51"/>
    </row>
    <row r="22" spans="1:16384" s="1" customFormat="1" ht="99.75" customHeight="1">
      <c r="A22" s="81" t="s">
        <v>373</v>
      </c>
      <c r="B22" s="81"/>
      <c r="C22" s="81"/>
      <c r="D22" s="81"/>
      <c r="E22" s="81"/>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c r="HF22" s="65"/>
      <c r="HG22" s="65"/>
      <c r="HH22" s="65"/>
      <c r="HI22" s="65"/>
      <c r="HJ22" s="65"/>
      <c r="HK22" s="65"/>
      <c r="HL22" s="65"/>
      <c r="HM22" s="65"/>
      <c r="HN22" s="65"/>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c r="IW22" s="65"/>
      <c r="IX22" s="65"/>
      <c r="IY22" s="65"/>
      <c r="IZ22" s="65"/>
      <c r="JA22" s="65"/>
      <c r="JB22" s="65"/>
      <c r="JC22" s="65"/>
      <c r="JD22" s="65"/>
      <c r="JE22" s="65"/>
      <c r="JF22" s="65"/>
      <c r="JG22" s="65"/>
      <c r="JH22" s="65"/>
      <c r="JI22" s="65"/>
      <c r="JJ22" s="65"/>
      <c r="JK22" s="65"/>
      <c r="JL22" s="65"/>
      <c r="JM22" s="65"/>
      <c r="JN22" s="65"/>
      <c r="JO22" s="65"/>
      <c r="JP22" s="65"/>
      <c r="JQ22" s="65"/>
      <c r="JR22" s="65"/>
      <c r="JS22" s="65"/>
      <c r="JT22" s="65"/>
      <c r="JU22" s="65"/>
      <c r="JV22" s="65"/>
      <c r="JW22" s="65"/>
      <c r="JX22" s="65"/>
      <c r="JY22" s="65"/>
      <c r="JZ22" s="65"/>
      <c r="KA22" s="65"/>
      <c r="KB22" s="65"/>
      <c r="KC22" s="65"/>
      <c r="KD22" s="65"/>
      <c r="KE22" s="65"/>
      <c r="KF22" s="65"/>
      <c r="KG22" s="65"/>
      <c r="KH22" s="65"/>
      <c r="KI22" s="65"/>
      <c r="KJ22" s="65"/>
      <c r="KK22" s="65"/>
      <c r="KL22" s="65"/>
      <c r="KM22" s="65"/>
      <c r="KN22" s="65"/>
      <c r="KO22" s="65"/>
      <c r="KP22" s="65"/>
      <c r="KQ22" s="65"/>
      <c r="KR22" s="65"/>
      <c r="KS22" s="65"/>
      <c r="KT22" s="65"/>
      <c r="KU22" s="65"/>
      <c r="KV22" s="65"/>
      <c r="KW22" s="65"/>
      <c r="KX22" s="65"/>
      <c r="KY22" s="65"/>
      <c r="KZ22" s="65"/>
      <c r="LA22" s="65"/>
      <c r="LB22" s="65"/>
      <c r="LC22" s="65"/>
      <c r="LD22" s="65"/>
      <c r="LE22" s="65"/>
      <c r="LF22" s="65"/>
      <c r="LG22" s="65"/>
      <c r="LH22" s="65"/>
      <c r="LI22" s="65"/>
      <c r="LJ22" s="65"/>
      <c r="LK22" s="65"/>
      <c r="LL22" s="65"/>
      <c r="LM22" s="65"/>
      <c r="LN22" s="65"/>
      <c r="LO22" s="65"/>
      <c r="LP22" s="65"/>
      <c r="LQ22" s="65"/>
      <c r="LR22" s="65"/>
      <c r="LS22" s="65"/>
      <c r="LT22" s="65"/>
      <c r="LU22" s="65"/>
      <c r="LV22" s="65"/>
      <c r="LW22" s="65"/>
      <c r="LX22" s="65"/>
      <c r="LY22" s="65"/>
      <c r="LZ22" s="65"/>
      <c r="MA22" s="65"/>
      <c r="MB22" s="65"/>
      <c r="MC22" s="65"/>
      <c r="MD22" s="65"/>
      <c r="ME22" s="65"/>
      <c r="MF22" s="65"/>
      <c r="MG22" s="65"/>
      <c r="MH22" s="65"/>
      <c r="MI22" s="65"/>
      <c r="MJ22" s="65"/>
      <c r="MK22" s="65"/>
      <c r="ML22" s="65"/>
      <c r="MM22" s="65"/>
      <c r="MN22" s="65"/>
      <c r="MO22" s="65"/>
      <c r="MP22" s="65"/>
      <c r="MQ22" s="65"/>
      <c r="MR22" s="65"/>
      <c r="MS22" s="65"/>
      <c r="MT22" s="65"/>
      <c r="MU22" s="65"/>
      <c r="MV22" s="65"/>
      <c r="MW22" s="65"/>
      <c r="MX22" s="65"/>
      <c r="MY22" s="65"/>
      <c r="MZ22" s="65"/>
      <c r="NA22" s="65"/>
      <c r="NB22" s="65"/>
      <c r="NC22" s="65"/>
      <c r="ND22" s="65"/>
      <c r="NE22" s="65"/>
      <c r="NF22" s="65"/>
      <c r="NG22" s="65"/>
      <c r="NH22" s="65"/>
      <c r="NI22" s="65"/>
      <c r="NJ22" s="65"/>
      <c r="NK22" s="65"/>
      <c r="NL22" s="65"/>
      <c r="NM22" s="65"/>
      <c r="NN22" s="65"/>
      <c r="NO22" s="65"/>
      <c r="NP22" s="65"/>
      <c r="NQ22" s="65"/>
      <c r="NR22" s="65"/>
      <c r="NS22" s="65"/>
      <c r="NT22" s="65"/>
      <c r="NU22" s="65"/>
      <c r="NV22" s="65"/>
      <c r="NW22" s="65"/>
      <c r="NX22" s="65"/>
      <c r="NY22" s="65"/>
      <c r="NZ22" s="65"/>
      <c r="OA22" s="65"/>
      <c r="OB22" s="65"/>
      <c r="OC22" s="65"/>
      <c r="OD22" s="65"/>
      <c r="OE22" s="65"/>
      <c r="OF22" s="65"/>
      <c r="OG22" s="65"/>
      <c r="OH22" s="65"/>
      <c r="OI22" s="65"/>
      <c r="OJ22" s="65"/>
      <c r="OK22" s="65"/>
      <c r="OL22" s="65"/>
      <c r="OM22" s="65"/>
      <c r="ON22" s="65"/>
      <c r="OO22" s="65"/>
      <c r="OP22" s="65"/>
      <c r="OQ22" s="65"/>
      <c r="OR22" s="65"/>
      <c r="OS22" s="65"/>
      <c r="OT22" s="65"/>
      <c r="OU22" s="65"/>
      <c r="OV22" s="65"/>
      <c r="OW22" s="65"/>
      <c r="OX22" s="65"/>
      <c r="OY22" s="65"/>
      <c r="OZ22" s="65"/>
      <c r="PA22" s="65"/>
      <c r="PB22" s="65"/>
      <c r="PC22" s="65"/>
      <c r="PD22" s="65"/>
      <c r="PE22" s="65"/>
      <c r="PF22" s="65"/>
      <c r="PG22" s="65"/>
      <c r="PH22" s="65"/>
      <c r="PI22" s="65"/>
      <c r="PJ22" s="65"/>
      <c r="PK22" s="65"/>
      <c r="PL22" s="65"/>
      <c r="PM22" s="65"/>
      <c r="PN22" s="65"/>
      <c r="PO22" s="65"/>
      <c r="PP22" s="65"/>
      <c r="PQ22" s="65"/>
      <c r="PR22" s="65"/>
      <c r="PS22" s="65"/>
      <c r="PT22" s="65"/>
      <c r="PU22" s="65"/>
      <c r="PV22" s="65"/>
      <c r="PW22" s="65"/>
      <c r="PX22" s="65"/>
      <c r="PY22" s="65"/>
      <c r="PZ22" s="65"/>
      <c r="QA22" s="65"/>
      <c r="QB22" s="65"/>
      <c r="QC22" s="65"/>
      <c r="QD22" s="65"/>
      <c r="QE22" s="65"/>
      <c r="QF22" s="65"/>
      <c r="QG22" s="65"/>
      <c r="QH22" s="65"/>
      <c r="QI22" s="65"/>
      <c r="QJ22" s="65"/>
      <c r="QK22" s="65"/>
      <c r="QL22" s="65"/>
      <c r="QM22" s="65"/>
      <c r="QN22" s="65"/>
      <c r="QO22" s="65"/>
      <c r="QP22" s="65"/>
      <c r="QQ22" s="65"/>
      <c r="QR22" s="65"/>
      <c r="QS22" s="65"/>
      <c r="QT22" s="65"/>
      <c r="QU22" s="65"/>
      <c r="QV22" s="65"/>
      <c r="QW22" s="65"/>
      <c r="QX22" s="65"/>
      <c r="QY22" s="65"/>
      <c r="QZ22" s="65"/>
      <c r="RA22" s="65"/>
      <c r="RB22" s="65"/>
      <c r="RC22" s="65"/>
      <c r="RD22" s="65"/>
      <c r="RE22" s="65"/>
      <c r="RF22" s="65"/>
      <c r="RG22" s="65"/>
      <c r="RH22" s="65"/>
      <c r="RI22" s="65"/>
      <c r="RJ22" s="65"/>
      <c r="RK22" s="65"/>
      <c r="RL22" s="65"/>
      <c r="RM22" s="65"/>
      <c r="RN22" s="65"/>
      <c r="RO22" s="65"/>
      <c r="RP22" s="65"/>
      <c r="RQ22" s="65"/>
      <c r="RR22" s="65"/>
      <c r="RS22" s="65"/>
      <c r="RT22" s="65"/>
      <c r="RU22" s="65"/>
      <c r="RV22" s="65"/>
      <c r="RW22" s="65"/>
      <c r="RX22" s="65"/>
      <c r="RY22" s="65"/>
      <c r="RZ22" s="65"/>
      <c r="SA22" s="65"/>
      <c r="SB22" s="65"/>
      <c r="SC22" s="65"/>
      <c r="SD22" s="65"/>
      <c r="SE22" s="65"/>
      <c r="SF22" s="65"/>
      <c r="SG22" s="65"/>
      <c r="SH22" s="65"/>
      <c r="SI22" s="65"/>
      <c r="SJ22" s="65"/>
      <c r="SK22" s="65"/>
      <c r="SL22" s="65"/>
      <c r="SM22" s="65"/>
      <c r="SN22" s="65"/>
      <c r="SO22" s="65"/>
      <c r="SP22" s="65"/>
      <c r="SQ22" s="65"/>
      <c r="SR22" s="65"/>
      <c r="SS22" s="65"/>
      <c r="ST22" s="65"/>
      <c r="SU22" s="65"/>
      <c r="SV22" s="65"/>
      <c r="SW22" s="65"/>
      <c r="SX22" s="65"/>
      <c r="SY22" s="65"/>
      <c r="SZ22" s="65"/>
      <c r="TA22" s="65"/>
      <c r="TB22" s="65"/>
      <c r="TC22" s="65"/>
      <c r="TD22" s="65"/>
      <c r="TE22" s="65"/>
      <c r="TF22" s="65"/>
      <c r="TG22" s="65"/>
      <c r="TH22" s="65"/>
      <c r="TI22" s="65"/>
      <c r="TJ22" s="65"/>
      <c r="TK22" s="65"/>
      <c r="TL22" s="65"/>
      <c r="TM22" s="65"/>
      <c r="TN22" s="65"/>
      <c r="TO22" s="65"/>
      <c r="TP22" s="65"/>
      <c r="TQ22" s="65"/>
      <c r="TR22" s="65"/>
      <c r="TS22" s="65"/>
      <c r="TT22" s="65"/>
      <c r="TU22" s="65"/>
      <c r="TV22" s="65"/>
      <c r="TW22" s="65"/>
      <c r="TX22" s="65"/>
      <c r="TY22" s="65"/>
      <c r="TZ22" s="65"/>
      <c r="UA22" s="65"/>
      <c r="UB22" s="65"/>
      <c r="UC22" s="65"/>
      <c r="UD22" s="65"/>
      <c r="UE22" s="65"/>
      <c r="UF22" s="65"/>
      <c r="UG22" s="65"/>
      <c r="UH22" s="65"/>
      <c r="UI22" s="65"/>
      <c r="UJ22" s="65"/>
      <c r="UK22" s="65"/>
      <c r="UL22" s="65"/>
      <c r="UM22" s="65"/>
      <c r="UN22" s="65"/>
      <c r="UO22" s="65"/>
      <c r="UP22" s="65"/>
      <c r="UQ22" s="65"/>
      <c r="UR22" s="65"/>
      <c r="US22" s="65"/>
      <c r="UT22" s="65"/>
      <c r="UU22" s="65"/>
      <c r="UV22" s="65"/>
      <c r="UW22" s="65"/>
      <c r="UX22" s="65"/>
      <c r="UY22" s="65"/>
      <c r="UZ22" s="65"/>
      <c r="VA22" s="65"/>
      <c r="VB22" s="65"/>
      <c r="VC22" s="65"/>
      <c r="VD22" s="65"/>
      <c r="VE22" s="65"/>
      <c r="VF22" s="65"/>
      <c r="VG22" s="65"/>
      <c r="VH22" s="65"/>
      <c r="VI22" s="65"/>
      <c r="VJ22" s="65"/>
      <c r="VK22" s="65"/>
      <c r="VL22" s="65"/>
      <c r="VM22" s="65"/>
      <c r="VN22" s="65"/>
      <c r="VO22" s="65"/>
      <c r="VP22" s="65"/>
      <c r="VQ22" s="65"/>
      <c r="VR22" s="65"/>
      <c r="VS22" s="65"/>
      <c r="VT22" s="65"/>
      <c r="VU22" s="65"/>
      <c r="VV22" s="65"/>
      <c r="VW22" s="65"/>
      <c r="VX22" s="65"/>
      <c r="VY22" s="65"/>
      <c r="VZ22" s="65"/>
      <c r="WA22" s="65"/>
      <c r="WB22" s="65"/>
      <c r="WC22" s="65"/>
      <c r="WD22" s="65"/>
      <c r="WE22" s="65"/>
      <c r="WF22" s="65"/>
      <c r="WG22" s="65"/>
      <c r="WH22" s="65"/>
      <c r="WI22" s="65"/>
      <c r="WJ22" s="65"/>
      <c r="WK22" s="65"/>
      <c r="WL22" s="65"/>
      <c r="WM22" s="65"/>
      <c r="WN22" s="65"/>
      <c r="WO22" s="65"/>
      <c r="WP22" s="65"/>
      <c r="WQ22" s="65"/>
      <c r="WR22" s="65"/>
      <c r="WS22" s="65"/>
      <c r="WT22" s="65"/>
      <c r="WU22" s="65"/>
      <c r="WV22" s="65"/>
      <c r="WW22" s="65"/>
      <c r="WX22" s="65"/>
      <c r="WY22" s="65"/>
      <c r="WZ22" s="65"/>
      <c r="XA22" s="65"/>
      <c r="XB22" s="65"/>
      <c r="XC22" s="65"/>
      <c r="XD22" s="65"/>
      <c r="XE22" s="65"/>
      <c r="XF22" s="65"/>
      <c r="XG22" s="65"/>
      <c r="XH22" s="65"/>
      <c r="XI22" s="65"/>
      <c r="XJ22" s="65"/>
      <c r="XK22" s="65"/>
      <c r="XL22" s="65"/>
      <c r="XM22" s="65"/>
      <c r="XN22" s="65"/>
      <c r="XO22" s="65"/>
      <c r="XP22" s="65"/>
      <c r="XQ22" s="65"/>
      <c r="XR22" s="65"/>
      <c r="XS22" s="65"/>
      <c r="XT22" s="65"/>
      <c r="XU22" s="65"/>
      <c r="XV22" s="65"/>
      <c r="XW22" s="65"/>
      <c r="XX22" s="65"/>
      <c r="XY22" s="65"/>
      <c r="XZ22" s="65"/>
      <c r="YA22" s="65"/>
      <c r="YB22" s="65"/>
      <c r="YC22" s="65"/>
      <c r="YD22" s="65"/>
      <c r="YE22" s="65"/>
      <c r="YF22" s="65"/>
      <c r="YG22" s="65"/>
      <c r="YH22" s="65"/>
      <c r="YI22" s="65"/>
      <c r="YJ22" s="65"/>
      <c r="YK22" s="65"/>
      <c r="YL22" s="65"/>
      <c r="YM22" s="65"/>
      <c r="YN22" s="65"/>
      <c r="YO22" s="65"/>
      <c r="YP22" s="65"/>
      <c r="YQ22" s="65"/>
      <c r="YR22" s="65"/>
      <c r="YS22" s="65"/>
      <c r="YT22" s="65"/>
      <c r="YU22" s="65"/>
      <c r="YV22" s="65"/>
      <c r="YW22" s="65"/>
      <c r="YX22" s="65"/>
      <c r="YY22" s="65"/>
      <c r="YZ22" s="65"/>
      <c r="ZA22" s="65"/>
      <c r="ZB22" s="65"/>
      <c r="ZC22" s="65"/>
      <c r="ZD22" s="65"/>
      <c r="ZE22" s="65"/>
      <c r="ZF22" s="65"/>
      <c r="ZG22" s="65"/>
      <c r="ZH22" s="65"/>
      <c r="ZI22" s="65"/>
      <c r="ZJ22" s="65"/>
      <c r="ZK22" s="65"/>
      <c r="ZL22" s="65"/>
      <c r="ZM22" s="65"/>
      <c r="ZN22" s="65"/>
      <c r="ZO22" s="65"/>
      <c r="ZP22" s="65"/>
      <c r="ZQ22" s="65"/>
      <c r="ZR22" s="65"/>
      <c r="ZS22" s="65"/>
      <c r="ZT22" s="65"/>
      <c r="ZU22" s="65"/>
      <c r="ZV22" s="65"/>
      <c r="ZW22" s="65"/>
      <c r="ZX22" s="65"/>
      <c r="ZY22" s="65"/>
      <c r="ZZ22" s="65"/>
      <c r="AAA22" s="65"/>
      <c r="AAB22" s="65"/>
      <c r="AAC22" s="65"/>
      <c r="AAD22" s="65"/>
      <c r="AAE22" s="65"/>
      <c r="AAF22" s="65"/>
      <c r="AAG22" s="65"/>
      <c r="AAH22" s="65"/>
      <c r="AAI22" s="65"/>
      <c r="AAJ22" s="65"/>
      <c r="AAK22" s="65"/>
      <c r="AAL22" s="65"/>
      <c r="AAM22" s="65"/>
      <c r="AAN22" s="65"/>
      <c r="AAO22" s="65"/>
      <c r="AAP22" s="65"/>
      <c r="AAQ22" s="65"/>
      <c r="AAR22" s="65"/>
      <c r="AAS22" s="65"/>
      <c r="AAT22" s="65"/>
      <c r="AAU22" s="65"/>
      <c r="AAV22" s="65"/>
      <c r="AAW22" s="65"/>
      <c r="AAX22" s="65"/>
      <c r="AAY22" s="65"/>
      <c r="AAZ22" s="65"/>
      <c r="ABA22" s="65"/>
      <c r="ABB22" s="65"/>
      <c r="ABC22" s="65"/>
      <c r="ABD22" s="65"/>
      <c r="ABE22" s="65"/>
      <c r="ABF22" s="65"/>
      <c r="ABG22" s="65"/>
      <c r="ABH22" s="65"/>
      <c r="ABI22" s="65"/>
      <c r="ABJ22" s="65"/>
      <c r="ABK22" s="65"/>
      <c r="ABL22" s="65"/>
      <c r="ABM22" s="65"/>
      <c r="ABN22" s="65"/>
      <c r="ABO22" s="65"/>
      <c r="ABP22" s="65"/>
      <c r="ABQ22" s="65"/>
      <c r="ABR22" s="65"/>
      <c r="ABS22" s="65"/>
      <c r="ABT22" s="65"/>
      <c r="ABU22" s="65"/>
      <c r="ABV22" s="65"/>
      <c r="ABW22" s="65"/>
      <c r="ABX22" s="65"/>
      <c r="ABY22" s="65"/>
      <c r="ABZ22" s="65"/>
      <c r="ACA22" s="65"/>
      <c r="ACB22" s="65"/>
      <c r="ACC22" s="65"/>
      <c r="ACD22" s="65"/>
      <c r="ACE22" s="65"/>
      <c r="ACF22" s="65"/>
      <c r="ACG22" s="65"/>
      <c r="ACH22" s="65"/>
      <c r="ACI22" s="65"/>
      <c r="ACJ22" s="65"/>
      <c r="ACK22" s="65"/>
      <c r="ACL22" s="65"/>
      <c r="ACM22" s="65"/>
      <c r="ACN22" s="65"/>
      <c r="ACO22" s="65"/>
      <c r="ACP22" s="65"/>
      <c r="ACQ22" s="65"/>
      <c r="ACR22" s="65"/>
      <c r="ACS22" s="65"/>
      <c r="ACT22" s="65"/>
      <c r="ACU22" s="65"/>
      <c r="ACV22" s="65"/>
      <c r="ACW22" s="65"/>
      <c r="ACX22" s="65"/>
      <c r="ACY22" s="65"/>
      <c r="ACZ22" s="65"/>
      <c r="ADA22" s="65"/>
      <c r="ADB22" s="65"/>
      <c r="ADC22" s="65"/>
      <c r="ADD22" s="65"/>
      <c r="ADE22" s="65"/>
      <c r="ADF22" s="65"/>
      <c r="ADG22" s="65"/>
      <c r="ADH22" s="65"/>
      <c r="ADI22" s="65"/>
      <c r="ADJ22" s="65"/>
      <c r="ADK22" s="65"/>
      <c r="ADL22" s="65"/>
      <c r="ADM22" s="65"/>
      <c r="ADN22" s="65"/>
      <c r="ADO22" s="65"/>
      <c r="ADP22" s="65"/>
      <c r="ADQ22" s="65"/>
      <c r="ADR22" s="65"/>
      <c r="ADS22" s="65"/>
      <c r="ADT22" s="65"/>
      <c r="ADU22" s="65"/>
      <c r="ADV22" s="65"/>
      <c r="ADW22" s="65"/>
      <c r="ADX22" s="65"/>
      <c r="ADY22" s="65"/>
      <c r="ADZ22" s="65"/>
      <c r="AEA22" s="65"/>
      <c r="AEB22" s="65"/>
      <c r="AEC22" s="65"/>
      <c r="AED22" s="65"/>
      <c r="AEE22" s="65"/>
      <c r="AEF22" s="65"/>
      <c r="AEG22" s="65"/>
      <c r="AEH22" s="65"/>
      <c r="AEI22" s="65"/>
      <c r="AEJ22" s="65"/>
      <c r="AEK22" s="65"/>
      <c r="AEL22" s="65"/>
      <c r="AEM22" s="65"/>
      <c r="AEN22" s="65"/>
      <c r="AEO22" s="65"/>
      <c r="AEP22" s="65"/>
      <c r="AEQ22" s="65"/>
      <c r="AER22" s="65"/>
      <c r="AES22" s="65"/>
      <c r="AET22" s="65"/>
      <c r="AEU22" s="65"/>
      <c r="AEV22" s="65"/>
      <c r="AEW22" s="65"/>
      <c r="AEX22" s="65"/>
      <c r="AEY22" s="65"/>
      <c r="AEZ22" s="65"/>
      <c r="AFA22" s="65"/>
      <c r="AFB22" s="65"/>
      <c r="AFC22" s="65"/>
      <c r="AFD22" s="65"/>
      <c r="AFE22" s="65"/>
      <c r="AFF22" s="65"/>
      <c r="AFG22" s="65"/>
      <c r="AFH22" s="65"/>
      <c r="AFI22" s="65"/>
      <c r="AFJ22" s="65"/>
      <c r="AFK22" s="65"/>
      <c r="AFL22" s="65"/>
      <c r="AFM22" s="65"/>
      <c r="AFN22" s="65"/>
      <c r="AFO22" s="65"/>
      <c r="AFP22" s="65"/>
      <c r="AFQ22" s="65"/>
      <c r="AFR22" s="65"/>
      <c r="AFS22" s="65"/>
      <c r="AFT22" s="65"/>
      <c r="AFU22" s="65"/>
      <c r="AFV22" s="65"/>
      <c r="AFW22" s="65"/>
      <c r="AFX22" s="65"/>
      <c r="AFY22" s="65"/>
      <c r="AFZ22" s="65"/>
      <c r="AGA22" s="65"/>
      <c r="AGB22" s="65"/>
      <c r="AGC22" s="65"/>
      <c r="AGD22" s="65"/>
      <c r="AGE22" s="65"/>
      <c r="AGF22" s="65"/>
      <c r="AGG22" s="65"/>
      <c r="AGH22" s="65"/>
      <c r="AGI22" s="65"/>
      <c r="AGJ22" s="65"/>
      <c r="AGK22" s="65"/>
      <c r="AGL22" s="65"/>
      <c r="AGM22" s="65"/>
      <c r="AGN22" s="65"/>
      <c r="AGO22" s="65"/>
      <c r="AGP22" s="65"/>
      <c r="AGQ22" s="65"/>
      <c r="AGR22" s="65"/>
      <c r="AGS22" s="65"/>
      <c r="AGT22" s="65"/>
      <c r="AGU22" s="65"/>
      <c r="AGV22" s="65"/>
      <c r="AGW22" s="65"/>
      <c r="AGX22" s="65"/>
      <c r="AGY22" s="65"/>
      <c r="AGZ22" s="65"/>
      <c r="AHA22" s="65"/>
      <c r="AHB22" s="65"/>
      <c r="AHC22" s="65"/>
      <c r="AHD22" s="65"/>
      <c r="AHE22" s="65"/>
      <c r="AHF22" s="65"/>
      <c r="AHG22" s="65"/>
      <c r="AHH22" s="65"/>
      <c r="AHI22" s="65"/>
      <c r="AHJ22" s="65"/>
      <c r="AHK22" s="65"/>
      <c r="AHL22" s="65"/>
      <c r="AHM22" s="65"/>
      <c r="AHN22" s="65"/>
      <c r="AHO22" s="65"/>
      <c r="AHP22" s="65"/>
      <c r="AHQ22" s="65"/>
      <c r="AHR22" s="65"/>
      <c r="AHS22" s="65"/>
      <c r="AHT22" s="65"/>
      <c r="AHU22" s="65"/>
      <c r="AHV22" s="65"/>
      <c r="AHW22" s="65"/>
      <c r="AHX22" s="65"/>
      <c r="AHY22" s="65"/>
      <c r="AHZ22" s="65"/>
      <c r="AIA22" s="65"/>
      <c r="AIB22" s="65"/>
      <c r="AIC22" s="65"/>
      <c r="AID22" s="65"/>
      <c r="AIE22" s="65"/>
      <c r="AIF22" s="65"/>
      <c r="AIG22" s="65"/>
      <c r="AIH22" s="65"/>
      <c r="AII22" s="65"/>
      <c r="AIJ22" s="65"/>
      <c r="AIK22" s="65"/>
      <c r="AIL22" s="65"/>
      <c r="AIM22" s="65"/>
      <c r="AIN22" s="65"/>
      <c r="AIO22" s="65"/>
      <c r="AIP22" s="65"/>
      <c r="AIQ22" s="65"/>
      <c r="AIR22" s="65"/>
      <c r="AIS22" s="65"/>
      <c r="AIT22" s="65"/>
      <c r="AIU22" s="65"/>
      <c r="AIV22" s="65"/>
      <c r="AIW22" s="65"/>
      <c r="AIX22" s="65"/>
      <c r="AIY22" s="65"/>
      <c r="AIZ22" s="65"/>
      <c r="AJA22" s="65"/>
      <c r="AJB22" s="65"/>
      <c r="AJC22" s="65"/>
      <c r="AJD22" s="65"/>
      <c r="AJE22" s="65"/>
      <c r="AJF22" s="65"/>
      <c r="AJG22" s="65"/>
      <c r="AJH22" s="65"/>
      <c r="AJI22" s="65"/>
      <c r="AJJ22" s="65"/>
      <c r="AJK22" s="65"/>
      <c r="AJL22" s="65"/>
      <c r="AJM22" s="65"/>
      <c r="AJN22" s="65"/>
      <c r="AJO22" s="65"/>
      <c r="AJP22" s="65"/>
      <c r="AJQ22" s="65"/>
      <c r="AJR22" s="65"/>
      <c r="AJS22" s="65"/>
      <c r="AJT22" s="65"/>
      <c r="AJU22" s="65"/>
      <c r="AJV22" s="65"/>
      <c r="AJW22" s="65"/>
      <c r="AJX22" s="65"/>
      <c r="AJY22" s="65"/>
      <c r="AJZ22" s="65"/>
      <c r="AKA22" s="65"/>
      <c r="AKB22" s="65"/>
      <c r="AKC22" s="65"/>
      <c r="AKD22" s="65"/>
      <c r="AKE22" s="65"/>
      <c r="AKF22" s="65"/>
      <c r="AKG22" s="65"/>
      <c r="AKH22" s="65"/>
      <c r="AKI22" s="65"/>
      <c r="AKJ22" s="65"/>
      <c r="AKK22" s="65"/>
      <c r="AKL22" s="65"/>
      <c r="AKM22" s="65"/>
      <c r="AKN22" s="65"/>
      <c r="AKO22" s="65"/>
      <c r="AKP22" s="65"/>
      <c r="AKQ22" s="65"/>
      <c r="AKR22" s="65"/>
      <c r="AKS22" s="65"/>
      <c r="AKT22" s="65"/>
      <c r="AKU22" s="65"/>
      <c r="AKV22" s="65"/>
      <c r="AKW22" s="65"/>
      <c r="AKX22" s="65"/>
      <c r="AKY22" s="65"/>
      <c r="AKZ22" s="65"/>
      <c r="ALA22" s="65"/>
      <c r="ALB22" s="65"/>
      <c r="ALC22" s="65"/>
      <c r="ALD22" s="65"/>
      <c r="ALE22" s="65"/>
      <c r="ALF22" s="65"/>
      <c r="ALG22" s="65"/>
      <c r="ALH22" s="65"/>
      <c r="ALI22" s="65"/>
      <c r="ALJ22" s="65"/>
      <c r="ALK22" s="65"/>
      <c r="ALL22" s="65"/>
      <c r="ALM22" s="65"/>
      <c r="ALN22" s="65"/>
      <c r="ALO22" s="65"/>
      <c r="ALP22" s="65"/>
      <c r="ALQ22" s="65"/>
      <c r="ALR22" s="65"/>
      <c r="ALS22" s="65"/>
      <c r="ALT22" s="65"/>
      <c r="ALU22" s="65"/>
      <c r="ALV22" s="65"/>
      <c r="ALW22" s="65"/>
      <c r="ALX22" s="65"/>
      <c r="ALY22" s="65"/>
      <c r="ALZ22" s="65"/>
      <c r="AMA22" s="65"/>
      <c r="AMB22" s="65"/>
      <c r="AMC22" s="65"/>
      <c r="AMD22" s="65"/>
      <c r="AME22" s="65"/>
      <c r="AMF22" s="65"/>
      <c r="AMG22" s="65"/>
      <c r="AMH22" s="65"/>
      <c r="AMI22" s="65"/>
      <c r="AMJ22" s="65"/>
      <c r="AMK22" s="65"/>
      <c r="AML22" s="65"/>
      <c r="AMM22" s="65"/>
      <c r="AMN22" s="65"/>
      <c r="AMO22" s="65"/>
      <c r="AMP22" s="65"/>
      <c r="AMQ22" s="65"/>
      <c r="AMR22" s="65"/>
      <c r="AMS22" s="65"/>
      <c r="AMT22" s="65"/>
      <c r="AMU22" s="65"/>
      <c r="AMV22" s="65"/>
      <c r="AMW22" s="65"/>
      <c r="AMX22" s="65"/>
      <c r="AMY22" s="65"/>
      <c r="AMZ22" s="65"/>
      <c r="ANA22" s="65"/>
      <c r="ANB22" s="65"/>
      <c r="ANC22" s="65"/>
      <c r="AND22" s="65"/>
      <c r="ANE22" s="65"/>
      <c r="ANF22" s="65"/>
      <c r="ANG22" s="65"/>
      <c r="ANH22" s="65"/>
      <c r="ANI22" s="65"/>
      <c r="ANJ22" s="65"/>
      <c r="ANK22" s="65"/>
      <c r="ANL22" s="65"/>
      <c r="ANM22" s="65"/>
      <c r="ANN22" s="65"/>
      <c r="ANO22" s="65"/>
      <c r="ANP22" s="65"/>
      <c r="ANQ22" s="65"/>
      <c r="ANR22" s="65"/>
      <c r="ANS22" s="65"/>
      <c r="ANT22" s="65"/>
      <c r="ANU22" s="65"/>
      <c r="ANV22" s="65"/>
      <c r="ANW22" s="65"/>
      <c r="ANX22" s="65"/>
      <c r="ANY22" s="65"/>
      <c r="ANZ22" s="65"/>
      <c r="AOA22" s="65"/>
      <c r="AOB22" s="65"/>
      <c r="AOC22" s="65"/>
      <c r="AOD22" s="65"/>
      <c r="AOE22" s="65"/>
      <c r="AOF22" s="65"/>
      <c r="AOG22" s="65"/>
      <c r="AOH22" s="65"/>
      <c r="AOI22" s="65"/>
      <c r="AOJ22" s="65"/>
      <c r="AOK22" s="65"/>
      <c r="AOL22" s="65"/>
      <c r="AOM22" s="65"/>
      <c r="AON22" s="65"/>
      <c r="AOO22" s="65"/>
      <c r="AOP22" s="65"/>
      <c r="AOQ22" s="65"/>
      <c r="AOR22" s="65"/>
      <c r="AOS22" s="65"/>
      <c r="AOT22" s="65"/>
      <c r="AOU22" s="65"/>
      <c r="AOV22" s="65"/>
      <c r="AOW22" s="65"/>
      <c r="AOX22" s="65"/>
      <c r="AOY22" s="65"/>
      <c r="AOZ22" s="65"/>
      <c r="APA22" s="65"/>
      <c r="APB22" s="65"/>
      <c r="APC22" s="65"/>
      <c r="APD22" s="65"/>
      <c r="APE22" s="65"/>
      <c r="APF22" s="65"/>
      <c r="APG22" s="65"/>
      <c r="APH22" s="65"/>
      <c r="API22" s="65"/>
      <c r="APJ22" s="65"/>
      <c r="APK22" s="65"/>
      <c r="APL22" s="65"/>
      <c r="APM22" s="65"/>
      <c r="APN22" s="65"/>
      <c r="APO22" s="65"/>
      <c r="APP22" s="65"/>
      <c r="APQ22" s="65"/>
      <c r="APR22" s="65"/>
      <c r="APS22" s="65"/>
      <c r="APT22" s="65"/>
      <c r="APU22" s="65"/>
      <c r="APV22" s="65"/>
      <c r="APW22" s="65"/>
      <c r="APX22" s="65"/>
      <c r="APY22" s="65"/>
      <c r="APZ22" s="65"/>
      <c r="AQA22" s="65"/>
      <c r="AQB22" s="65"/>
      <c r="AQC22" s="65"/>
      <c r="AQD22" s="65"/>
      <c r="AQE22" s="65"/>
      <c r="AQF22" s="65"/>
      <c r="AQG22" s="65"/>
      <c r="AQH22" s="65"/>
      <c r="AQI22" s="65"/>
      <c r="AQJ22" s="65"/>
      <c r="AQK22" s="65"/>
      <c r="AQL22" s="65"/>
      <c r="AQM22" s="65"/>
      <c r="AQN22" s="65"/>
      <c r="AQO22" s="65"/>
      <c r="AQP22" s="65"/>
      <c r="AQQ22" s="65"/>
      <c r="AQR22" s="65"/>
      <c r="AQS22" s="65"/>
      <c r="AQT22" s="65"/>
      <c r="AQU22" s="65"/>
      <c r="AQV22" s="65"/>
      <c r="AQW22" s="65"/>
      <c r="AQX22" s="65"/>
      <c r="AQY22" s="65"/>
      <c r="AQZ22" s="65"/>
      <c r="ARA22" s="65"/>
      <c r="ARB22" s="65"/>
      <c r="ARC22" s="65"/>
      <c r="ARD22" s="65"/>
      <c r="ARE22" s="65"/>
      <c r="ARF22" s="65"/>
      <c r="ARG22" s="65"/>
      <c r="ARH22" s="65"/>
      <c r="ARI22" s="65"/>
      <c r="ARJ22" s="65"/>
      <c r="ARK22" s="65"/>
      <c r="ARL22" s="65"/>
      <c r="ARM22" s="65"/>
      <c r="ARN22" s="65"/>
      <c r="ARO22" s="65"/>
      <c r="ARP22" s="65"/>
      <c r="ARQ22" s="65"/>
      <c r="ARR22" s="65"/>
      <c r="ARS22" s="65"/>
      <c r="ART22" s="65"/>
      <c r="ARU22" s="65"/>
      <c r="ARV22" s="65"/>
      <c r="ARW22" s="65"/>
      <c r="ARX22" s="65"/>
      <c r="ARY22" s="65"/>
      <c r="ARZ22" s="65"/>
      <c r="ASA22" s="65"/>
      <c r="ASB22" s="65"/>
      <c r="ASC22" s="65"/>
      <c r="ASD22" s="65"/>
      <c r="ASE22" s="65"/>
      <c r="ASF22" s="65"/>
      <c r="ASG22" s="65"/>
      <c r="ASH22" s="65"/>
      <c r="ASI22" s="65"/>
      <c r="ASJ22" s="65"/>
      <c r="ASK22" s="65"/>
      <c r="ASL22" s="65"/>
      <c r="ASM22" s="65"/>
      <c r="ASN22" s="65"/>
      <c r="ASO22" s="65"/>
      <c r="ASP22" s="65"/>
      <c r="ASQ22" s="65"/>
      <c r="ASR22" s="65"/>
      <c r="ASS22" s="65"/>
      <c r="AST22" s="65"/>
      <c r="ASU22" s="65"/>
      <c r="ASV22" s="65"/>
      <c r="ASW22" s="65"/>
      <c r="ASX22" s="65"/>
      <c r="ASY22" s="65"/>
      <c r="ASZ22" s="65"/>
      <c r="ATA22" s="65"/>
      <c r="ATB22" s="65"/>
      <c r="ATC22" s="65"/>
      <c r="ATD22" s="65"/>
      <c r="ATE22" s="65"/>
      <c r="ATF22" s="65"/>
      <c r="ATG22" s="65"/>
      <c r="ATH22" s="65"/>
      <c r="ATI22" s="65"/>
      <c r="ATJ22" s="65"/>
      <c r="ATK22" s="65"/>
      <c r="ATL22" s="65"/>
      <c r="ATM22" s="65"/>
      <c r="ATN22" s="65"/>
      <c r="ATO22" s="65"/>
      <c r="ATP22" s="65"/>
      <c r="ATQ22" s="65"/>
      <c r="ATR22" s="65"/>
      <c r="ATS22" s="65"/>
      <c r="ATT22" s="65"/>
      <c r="ATU22" s="65"/>
      <c r="ATV22" s="65"/>
      <c r="ATW22" s="65"/>
      <c r="ATX22" s="65"/>
      <c r="ATY22" s="65"/>
      <c r="ATZ22" s="65"/>
      <c r="AUA22" s="65"/>
      <c r="AUB22" s="65"/>
      <c r="AUC22" s="65"/>
      <c r="AUD22" s="65"/>
      <c r="AUE22" s="65"/>
      <c r="AUF22" s="65"/>
      <c r="AUG22" s="65"/>
      <c r="AUH22" s="65"/>
      <c r="AUI22" s="65"/>
      <c r="AUJ22" s="65"/>
      <c r="AUK22" s="65"/>
      <c r="AUL22" s="65"/>
      <c r="AUM22" s="65"/>
      <c r="AUN22" s="65"/>
      <c r="AUO22" s="65"/>
      <c r="AUP22" s="65"/>
      <c r="AUQ22" s="65"/>
      <c r="AUR22" s="65"/>
      <c r="AUS22" s="65"/>
      <c r="AUT22" s="65"/>
      <c r="AUU22" s="65"/>
      <c r="AUV22" s="65"/>
      <c r="AUW22" s="65"/>
      <c r="AUX22" s="65"/>
      <c r="AUY22" s="65"/>
      <c r="AUZ22" s="65"/>
      <c r="AVA22" s="65"/>
      <c r="AVB22" s="65"/>
      <c r="AVC22" s="65"/>
      <c r="AVD22" s="65"/>
      <c r="AVE22" s="65"/>
      <c r="AVF22" s="65"/>
      <c r="AVG22" s="65"/>
      <c r="AVH22" s="65"/>
      <c r="AVI22" s="65"/>
      <c r="AVJ22" s="65"/>
      <c r="AVK22" s="65"/>
      <c r="AVL22" s="65"/>
      <c r="AVM22" s="65"/>
      <c r="AVN22" s="65"/>
      <c r="AVO22" s="65"/>
      <c r="AVP22" s="65"/>
      <c r="AVQ22" s="65"/>
      <c r="AVR22" s="65"/>
      <c r="AVS22" s="65"/>
      <c r="AVT22" s="65"/>
      <c r="AVU22" s="65"/>
      <c r="AVV22" s="65"/>
      <c r="AVW22" s="65"/>
      <c r="AVX22" s="65"/>
      <c r="AVY22" s="65"/>
      <c r="AVZ22" s="65"/>
      <c r="AWA22" s="65"/>
      <c r="AWB22" s="65"/>
      <c r="AWC22" s="65"/>
      <c r="AWD22" s="65"/>
      <c r="AWE22" s="65"/>
      <c r="AWF22" s="65"/>
      <c r="AWG22" s="65"/>
      <c r="AWH22" s="65"/>
      <c r="AWI22" s="65"/>
      <c r="AWJ22" s="65"/>
      <c r="AWK22" s="65"/>
      <c r="AWL22" s="65"/>
      <c r="AWM22" s="65"/>
      <c r="AWN22" s="65"/>
      <c r="AWO22" s="65"/>
      <c r="AWP22" s="65"/>
      <c r="AWQ22" s="65"/>
      <c r="AWR22" s="65"/>
      <c r="AWS22" s="65"/>
      <c r="AWT22" s="65"/>
      <c r="AWU22" s="65"/>
      <c r="AWV22" s="65"/>
      <c r="AWW22" s="65"/>
      <c r="AWX22" s="65"/>
      <c r="AWY22" s="65"/>
      <c r="AWZ22" s="65"/>
      <c r="AXA22" s="65"/>
      <c r="AXB22" s="65"/>
      <c r="AXC22" s="65"/>
      <c r="AXD22" s="65"/>
      <c r="AXE22" s="65"/>
      <c r="AXF22" s="65"/>
      <c r="AXG22" s="65"/>
      <c r="AXH22" s="65"/>
      <c r="AXI22" s="65"/>
      <c r="AXJ22" s="65"/>
      <c r="AXK22" s="65"/>
      <c r="AXL22" s="65"/>
      <c r="AXM22" s="65"/>
      <c r="AXN22" s="65"/>
      <c r="AXO22" s="65"/>
      <c r="AXP22" s="65"/>
      <c r="AXQ22" s="65"/>
      <c r="AXR22" s="65"/>
      <c r="AXS22" s="65"/>
      <c r="AXT22" s="65"/>
      <c r="AXU22" s="65"/>
      <c r="AXV22" s="65"/>
      <c r="AXW22" s="65"/>
      <c r="AXX22" s="65"/>
      <c r="AXY22" s="65"/>
      <c r="AXZ22" s="65"/>
      <c r="AYA22" s="65"/>
      <c r="AYB22" s="65"/>
      <c r="AYC22" s="65"/>
      <c r="AYD22" s="65"/>
      <c r="AYE22" s="65"/>
      <c r="AYF22" s="65"/>
      <c r="AYG22" s="65"/>
      <c r="AYH22" s="65"/>
      <c r="AYI22" s="65"/>
      <c r="AYJ22" s="65"/>
      <c r="AYK22" s="65"/>
      <c r="AYL22" s="65"/>
      <c r="AYM22" s="65"/>
      <c r="AYN22" s="65"/>
      <c r="AYO22" s="65"/>
      <c r="AYP22" s="65"/>
      <c r="AYQ22" s="65"/>
      <c r="AYR22" s="65"/>
      <c r="AYS22" s="65"/>
      <c r="AYT22" s="65"/>
      <c r="AYU22" s="65"/>
      <c r="AYV22" s="65"/>
      <c r="AYW22" s="65"/>
      <c r="AYX22" s="65"/>
      <c r="AYY22" s="65"/>
      <c r="AYZ22" s="65"/>
      <c r="AZA22" s="65"/>
      <c r="AZB22" s="65"/>
      <c r="AZC22" s="65"/>
      <c r="AZD22" s="65"/>
      <c r="AZE22" s="65"/>
      <c r="AZF22" s="65"/>
      <c r="AZG22" s="65"/>
      <c r="AZH22" s="65"/>
      <c r="AZI22" s="65"/>
      <c r="AZJ22" s="65"/>
      <c r="AZK22" s="65"/>
      <c r="AZL22" s="65"/>
      <c r="AZM22" s="65"/>
      <c r="AZN22" s="65"/>
      <c r="AZO22" s="65"/>
      <c r="AZP22" s="65"/>
      <c r="AZQ22" s="65"/>
      <c r="AZR22" s="65"/>
      <c r="AZS22" s="65"/>
      <c r="AZT22" s="65"/>
      <c r="AZU22" s="65"/>
      <c r="AZV22" s="65"/>
      <c r="AZW22" s="65"/>
      <c r="AZX22" s="65"/>
      <c r="AZY22" s="65"/>
      <c r="AZZ22" s="65"/>
      <c r="BAA22" s="65"/>
      <c r="BAB22" s="65"/>
      <c r="BAC22" s="65"/>
      <c r="BAD22" s="65"/>
      <c r="BAE22" s="65"/>
      <c r="BAF22" s="65"/>
      <c r="BAG22" s="65"/>
      <c r="BAH22" s="65"/>
      <c r="BAI22" s="65"/>
      <c r="BAJ22" s="65"/>
      <c r="BAK22" s="65"/>
      <c r="BAL22" s="65"/>
      <c r="BAM22" s="65"/>
      <c r="BAN22" s="65"/>
      <c r="BAO22" s="65"/>
      <c r="BAP22" s="65"/>
      <c r="BAQ22" s="65"/>
      <c r="BAR22" s="65"/>
      <c r="BAS22" s="65"/>
      <c r="BAT22" s="65"/>
      <c r="BAU22" s="65"/>
      <c r="BAV22" s="65"/>
      <c r="BAW22" s="65"/>
      <c r="BAX22" s="65"/>
      <c r="BAY22" s="65"/>
      <c r="BAZ22" s="65"/>
      <c r="BBA22" s="65"/>
      <c r="BBB22" s="65"/>
      <c r="BBC22" s="65"/>
      <c r="BBD22" s="65"/>
      <c r="BBE22" s="65"/>
      <c r="BBF22" s="65"/>
      <c r="BBG22" s="65"/>
      <c r="BBH22" s="65"/>
      <c r="BBI22" s="65"/>
      <c r="BBJ22" s="65"/>
      <c r="BBK22" s="65"/>
      <c r="BBL22" s="65"/>
      <c r="BBM22" s="65"/>
      <c r="BBN22" s="65"/>
      <c r="BBO22" s="65"/>
      <c r="BBP22" s="65"/>
      <c r="BBQ22" s="65"/>
      <c r="BBR22" s="65"/>
      <c r="BBS22" s="65"/>
      <c r="BBT22" s="65"/>
      <c r="BBU22" s="65"/>
      <c r="BBV22" s="65"/>
      <c r="BBW22" s="65"/>
      <c r="BBX22" s="65"/>
      <c r="BBY22" s="65"/>
      <c r="BBZ22" s="65"/>
      <c r="BCA22" s="65"/>
      <c r="BCB22" s="65"/>
      <c r="BCC22" s="65"/>
      <c r="BCD22" s="65"/>
      <c r="BCE22" s="65"/>
      <c r="BCF22" s="65"/>
      <c r="BCG22" s="65"/>
      <c r="BCH22" s="65"/>
      <c r="BCI22" s="65"/>
      <c r="BCJ22" s="65"/>
      <c r="BCK22" s="65"/>
      <c r="BCL22" s="65"/>
      <c r="BCM22" s="65"/>
      <c r="BCN22" s="65"/>
      <c r="BCO22" s="65"/>
      <c r="BCP22" s="65"/>
      <c r="BCQ22" s="65"/>
      <c r="BCR22" s="65"/>
      <c r="BCS22" s="65"/>
      <c r="BCT22" s="65"/>
      <c r="BCU22" s="65"/>
      <c r="BCV22" s="65"/>
      <c r="BCW22" s="65"/>
      <c r="BCX22" s="65"/>
      <c r="BCY22" s="65"/>
      <c r="BCZ22" s="65"/>
      <c r="BDA22" s="65"/>
      <c r="BDB22" s="65"/>
      <c r="BDC22" s="65"/>
      <c r="BDD22" s="65"/>
      <c r="BDE22" s="65"/>
      <c r="BDF22" s="65"/>
      <c r="BDG22" s="65"/>
      <c r="BDH22" s="65"/>
      <c r="BDI22" s="65"/>
      <c r="BDJ22" s="65"/>
      <c r="BDK22" s="65"/>
      <c r="BDL22" s="65"/>
      <c r="BDM22" s="65"/>
      <c r="BDN22" s="65"/>
      <c r="BDO22" s="65"/>
      <c r="BDP22" s="65"/>
      <c r="BDQ22" s="65"/>
      <c r="BDR22" s="65"/>
      <c r="BDS22" s="65"/>
      <c r="BDT22" s="65"/>
      <c r="BDU22" s="65"/>
      <c r="BDV22" s="65"/>
      <c r="BDW22" s="65"/>
      <c r="BDX22" s="65"/>
      <c r="BDY22" s="65"/>
      <c r="BDZ22" s="65"/>
      <c r="BEA22" s="65"/>
      <c r="BEB22" s="65"/>
      <c r="BEC22" s="65"/>
      <c r="BED22" s="65"/>
      <c r="BEE22" s="65"/>
      <c r="BEF22" s="65"/>
      <c r="BEG22" s="65"/>
      <c r="BEH22" s="65"/>
      <c r="BEI22" s="65"/>
      <c r="BEJ22" s="65"/>
      <c r="BEK22" s="65"/>
      <c r="BEL22" s="65"/>
      <c r="BEM22" s="65"/>
      <c r="BEN22" s="65"/>
      <c r="BEO22" s="65"/>
      <c r="BEP22" s="65"/>
      <c r="BEQ22" s="65"/>
      <c r="BER22" s="65"/>
      <c r="BES22" s="65"/>
      <c r="BET22" s="65"/>
      <c r="BEU22" s="65"/>
      <c r="BEV22" s="65"/>
      <c r="BEW22" s="65"/>
      <c r="BEX22" s="65"/>
      <c r="BEY22" s="65"/>
      <c r="BEZ22" s="65"/>
      <c r="BFA22" s="65"/>
      <c r="BFB22" s="65"/>
      <c r="BFC22" s="65"/>
      <c r="BFD22" s="65"/>
      <c r="BFE22" s="65"/>
      <c r="BFF22" s="65"/>
      <c r="BFG22" s="65"/>
      <c r="BFH22" s="65"/>
      <c r="BFI22" s="65"/>
      <c r="BFJ22" s="65"/>
      <c r="BFK22" s="65"/>
      <c r="BFL22" s="65"/>
      <c r="BFM22" s="65"/>
      <c r="BFN22" s="65"/>
      <c r="BFO22" s="65"/>
      <c r="BFP22" s="65"/>
      <c r="BFQ22" s="65"/>
      <c r="BFR22" s="65"/>
      <c r="BFS22" s="65"/>
      <c r="BFT22" s="65"/>
      <c r="BFU22" s="65"/>
      <c r="BFV22" s="65"/>
      <c r="BFW22" s="65"/>
      <c r="BFX22" s="65"/>
      <c r="BFY22" s="65"/>
      <c r="BFZ22" s="65"/>
      <c r="BGA22" s="65"/>
      <c r="BGB22" s="65"/>
      <c r="BGC22" s="65"/>
      <c r="BGD22" s="65"/>
      <c r="BGE22" s="65"/>
      <c r="BGF22" s="65"/>
      <c r="BGG22" s="65"/>
      <c r="BGH22" s="65"/>
      <c r="BGI22" s="65"/>
      <c r="BGJ22" s="65"/>
      <c r="BGK22" s="65"/>
      <c r="BGL22" s="65"/>
      <c r="BGM22" s="65"/>
      <c r="BGN22" s="65"/>
      <c r="BGO22" s="65"/>
      <c r="BGP22" s="65"/>
      <c r="BGQ22" s="65"/>
      <c r="BGR22" s="65"/>
      <c r="BGS22" s="65"/>
      <c r="BGT22" s="65"/>
      <c r="BGU22" s="65"/>
      <c r="BGV22" s="65"/>
      <c r="BGW22" s="65"/>
      <c r="BGX22" s="65"/>
      <c r="BGY22" s="65"/>
      <c r="BGZ22" s="65"/>
      <c r="BHA22" s="65"/>
      <c r="BHB22" s="65"/>
      <c r="BHC22" s="65"/>
      <c r="BHD22" s="65"/>
      <c r="BHE22" s="65"/>
      <c r="BHF22" s="65"/>
      <c r="BHG22" s="65"/>
      <c r="BHH22" s="65"/>
      <c r="BHI22" s="65"/>
      <c r="BHJ22" s="65"/>
      <c r="BHK22" s="65"/>
      <c r="BHL22" s="65"/>
      <c r="BHM22" s="65"/>
      <c r="BHN22" s="65"/>
      <c r="BHO22" s="65"/>
      <c r="BHP22" s="65"/>
      <c r="BHQ22" s="65"/>
      <c r="BHR22" s="65"/>
      <c r="BHS22" s="65"/>
      <c r="BHT22" s="65"/>
      <c r="BHU22" s="65"/>
      <c r="BHV22" s="65"/>
      <c r="BHW22" s="65"/>
      <c r="BHX22" s="65"/>
      <c r="BHY22" s="65"/>
      <c r="BHZ22" s="65"/>
      <c r="BIA22" s="65"/>
      <c r="BIB22" s="65"/>
      <c r="BIC22" s="65"/>
      <c r="BID22" s="65"/>
      <c r="BIE22" s="65"/>
      <c r="BIF22" s="65"/>
      <c r="BIG22" s="65"/>
      <c r="BIH22" s="65"/>
      <c r="BII22" s="65"/>
      <c r="BIJ22" s="65"/>
      <c r="BIK22" s="65"/>
      <c r="BIL22" s="65"/>
      <c r="BIM22" s="65"/>
      <c r="BIN22" s="65"/>
      <c r="BIO22" s="65"/>
      <c r="BIP22" s="65"/>
      <c r="BIQ22" s="65"/>
      <c r="BIR22" s="65"/>
      <c r="BIS22" s="65"/>
      <c r="BIT22" s="65"/>
      <c r="BIU22" s="65"/>
      <c r="BIV22" s="65"/>
      <c r="BIW22" s="65"/>
      <c r="BIX22" s="65"/>
      <c r="BIY22" s="65"/>
      <c r="BIZ22" s="65"/>
      <c r="BJA22" s="65"/>
      <c r="BJB22" s="65"/>
      <c r="BJC22" s="65"/>
      <c r="BJD22" s="65"/>
      <c r="BJE22" s="65"/>
      <c r="BJF22" s="65"/>
      <c r="BJG22" s="65"/>
      <c r="BJH22" s="65"/>
      <c r="BJI22" s="65"/>
      <c r="BJJ22" s="65"/>
      <c r="BJK22" s="65"/>
      <c r="BJL22" s="65"/>
      <c r="BJM22" s="65"/>
      <c r="BJN22" s="65"/>
      <c r="BJO22" s="65"/>
      <c r="BJP22" s="65"/>
      <c r="BJQ22" s="65"/>
      <c r="BJR22" s="65"/>
      <c r="BJS22" s="65"/>
      <c r="BJT22" s="65"/>
      <c r="BJU22" s="65"/>
      <c r="BJV22" s="65"/>
      <c r="BJW22" s="65"/>
      <c r="BJX22" s="65"/>
      <c r="BJY22" s="65"/>
      <c r="BJZ22" s="65"/>
      <c r="BKA22" s="65"/>
      <c r="BKB22" s="65"/>
      <c r="BKC22" s="65"/>
      <c r="BKD22" s="65"/>
      <c r="BKE22" s="65"/>
      <c r="BKF22" s="65"/>
      <c r="BKG22" s="65"/>
      <c r="BKH22" s="65"/>
      <c r="BKI22" s="65"/>
      <c r="BKJ22" s="65"/>
      <c r="BKK22" s="65"/>
      <c r="BKL22" s="65"/>
      <c r="BKM22" s="65"/>
      <c r="BKN22" s="65"/>
      <c r="BKO22" s="65"/>
      <c r="BKP22" s="65"/>
      <c r="BKQ22" s="65"/>
      <c r="BKR22" s="65"/>
      <c r="BKS22" s="65"/>
      <c r="BKT22" s="65"/>
      <c r="BKU22" s="65"/>
      <c r="BKV22" s="65"/>
      <c r="BKW22" s="65"/>
      <c r="BKX22" s="65"/>
      <c r="BKY22" s="65"/>
      <c r="BKZ22" s="65"/>
      <c r="BLA22" s="65"/>
      <c r="BLB22" s="65"/>
      <c r="BLC22" s="65"/>
      <c r="BLD22" s="65"/>
      <c r="BLE22" s="65"/>
      <c r="BLF22" s="65"/>
      <c r="BLG22" s="65"/>
      <c r="BLH22" s="65"/>
      <c r="BLI22" s="65"/>
      <c r="BLJ22" s="65"/>
      <c r="BLK22" s="65"/>
      <c r="BLL22" s="65"/>
      <c r="BLM22" s="65"/>
      <c r="BLN22" s="65"/>
      <c r="BLO22" s="65"/>
      <c r="BLP22" s="65"/>
      <c r="BLQ22" s="65"/>
      <c r="BLR22" s="65"/>
      <c r="BLS22" s="65"/>
      <c r="BLT22" s="65"/>
      <c r="BLU22" s="65"/>
      <c r="BLV22" s="65"/>
      <c r="BLW22" s="65"/>
      <c r="BLX22" s="65"/>
      <c r="BLY22" s="65"/>
      <c r="BLZ22" s="65"/>
      <c r="BMA22" s="65"/>
      <c r="BMB22" s="65"/>
      <c r="BMC22" s="65"/>
      <c r="BMD22" s="65"/>
      <c r="BME22" s="65"/>
      <c r="BMF22" s="65"/>
      <c r="BMG22" s="65"/>
      <c r="BMH22" s="65"/>
      <c r="BMI22" s="65"/>
      <c r="BMJ22" s="65"/>
      <c r="BMK22" s="65"/>
      <c r="BML22" s="65"/>
      <c r="BMM22" s="65"/>
      <c r="BMN22" s="65"/>
      <c r="BMO22" s="65"/>
      <c r="BMP22" s="65"/>
      <c r="BMQ22" s="65"/>
      <c r="BMR22" s="65"/>
      <c r="BMS22" s="65"/>
      <c r="BMT22" s="65"/>
      <c r="BMU22" s="65"/>
      <c r="BMV22" s="65"/>
      <c r="BMW22" s="65"/>
      <c r="BMX22" s="65"/>
      <c r="BMY22" s="65"/>
      <c r="BMZ22" s="65"/>
      <c r="BNA22" s="65"/>
      <c r="BNB22" s="65"/>
      <c r="BNC22" s="65"/>
      <c r="BND22" s="65"/>
      <c r="BNE22" s="65"/>
      <c r="BNF22" s="65"/>
      <c r="BNG22" s="65"/>
      <c r="BNH22" s="65"/>
      <c r="BNI22" s="65"/>
      <c r="BNJ22" s="65"/>
      <c r="BNK22" s="65"/>
      <c r="BNL22" s="65"/>
      <c r="BNM22" s="65"/>
      <c r="BNN22" s="65"/>
      <c r="BNO22" s="65"/>
      <c r="BNP22" s="65"/>
      <c r="BNQ22" s="65"/>
      <c r="BNR22" s="65"/>
      <c r="BNS22" s="65"/>
      <c r="BNT22" s="65"/>
      <c r="BNU22" s="65"/>
      <c r="BNV22" s="65"/>
      <c r="BNW22" s="65"/>
      <c r="BNX22" s="65"/>
      <c r="BNY22" s="65"/>
      <c r="BNZ22" s="65"/>
      <c r="BOA22" s="65"/>
      <c r="BOB22" s="65"/>
      <c r="BOC22" s="65"/>
      <c r="BOD22" s="65"/>
      <c r="BOE22" s="65"/>
      <c r="BOF22" s="65"/>
      <c r="BOG22" s="65"/>
      <c r="BOH22" s="65"/>
      <c r="BOI22" s="65"/>
      <c r="BOJ22" s="65"/>
      <c r="BOK22" s="65"/>
      <c r="BOL22" s="65"/>
      <c r="BOM22" s="65"/>
      <c r="BON22" s="65"/>
      <c r="BOO22" s="65"/>
      <c r="BOP22" s="65"/>
      <c r="BOQ22" s="65"/>
      <c r="BOR22" s="65"/>
      <c r="BOS22" s="65"/>
      <c r="BOT22" s="65"/>
      <c r="BOU22" s="65"/>
      <c r="BOV22" s="65"/>
      <c r="BOW22" s="65"/>
      <c r="BOX22" s="65"/>
      <c r="BOY22" s="65"/>
      <c r="BOZ22" s="65"/>
      <c r="BPA22" s="65"/>
      <c r="BPB22" s="65"/>
      <c r="BPC22" s="65"/>
      <c r="BPD22" s="65"/>
      <c r="BPE22" s="65"/>
      <c r="BPF22" s="65"/>
      <c r="BPG22" s="65"/>
      <c r="BPH22" s="65"/>
      <c r="BPI22" s="65"/>
      <c r="BPJ22" s="65"/>
      <c r="BPK22" s="65"/>
      <c r="BPL22" s="65"/>
      <c r="BPM22" s="65"/>
      <c r="BPN22" s="65"/>
      <c r="BPO22" s="65"/>
      <c r="BPP22" s="65"/>
      <c r="BPQ22" s="65"/>
      <c r="BPR22" s="65"/>
      <c r="BPS22" s="65"/>
      <c r="BPT22" s="65"/>
      <c r="BPU22" s="65"/>
      <c r="BPV22" s="65"/>
      <c r="BPW22" s="65"/>
      <c r="BPX22" s="65"/>
      <c r="BPY22" s="65"/>
      <c r="BPZ22" s="65"/>
      <c r="BQA22" s="65"/>
      <c r="BQB22" s="65"/>
      <c r="BQC22" s="65"/>
      <c r="BQD22" s="65"/>
      <c r="BQE22" s="65"/>
      <c r="BQF22" s="65"/>
      <c r="BQG22" s="65"/>
      <c r="BQH22" s="65"/>
      <c r="BQI22" s="65"/>
      <c r="BQJ22" s="65"/>
      <c r="BQK22" s="65"/>
      <c r="BQL22" s="65"/>
      <c r="BQM22" s="65"/>
      <c r="BQN22" s="65"/>
      <c r="BQO22" s="65"/>
      <c r="BQP22" s="65"/>
      <c r="BQQ22" s="65"/>
      <c r="BQR22" s="65"/>
      <c r="BQS22" s="65"/>
      <c r="BQT22" s="65"/>
      <c r="BQU22" s="65"/>
      <c r="BQV22" s="65"/>
      <c r="BQW22" s="65"/>
      <c r="BQX22" s="65"/>
      <c r="BQY22" s="65"/>
      <c r="BQZ22" s="65"/>
      <c r="BRA22" s="65"/>
      <c r="BRB22" s="65"/>
      <c r="BRC22" s="65"/>
      <c r="BRD22" s="65"/>
      <c r="BRE22" s="65"/>
      <c r="BRF22" s="65"/>
      <c r="BRG22" s="65"/>
      <c r="BRH22" s="65"/>
      <c r="BRI22" s="65"/>
      <c r="BRJ22" s="65"/>
      <c r="BRK22" s="65"/>
      <c r="BRL22" s="65"/>
      <c r="BRM22" s="65"/>
      <c r="BRN22" s="65"/>
      <c r="BRO22" s="65"/>
      <c r="BRP22" s="65"/>
      <c r="BRQ22" s="65"/>
      <c r="BRR22" s="65"/>
      <c r="BRS22" s="65"/>
      <c r="BRT22" s="65"/>
      <c r="BRU22" s="65"/>
      <c r="BRV22" s="65"/>
      <c r="BRW22" s="65"/>
      <c r="BRX22" s="65"/>
      <c r="BRY22" s="65"/>
      <c r="BRZ22" s="65"/>
      <c r="BSA22" s="65"/>
      <c r="BSB22" s="65"/>
      <c r="BSC22" s="65"/>
      <c r="BSD22" s="65"/>
      <c r="BSE22" s="65"/>
      <c r="BSF22" s="65"/>
      <c r="BSG22" s="65"/>
      <c r="BSH22" s="65"/>
      <c r="BSI22" s="65"/>
      <c r="BSJ22" s="65"/>
      <c r="BSK22" s="65"/>
      <c r="BSL22" s="65"/>
      <c r="BSM22" s="65"/>
      <c r="BSN22" s="65"/>
      <c r="BSO22" s="65"/>
      <c r="BSP22" s="65"/>
      <c r="BSQ22" s="65"/>
      <c r="BSR22" s="65"/>
      <c r="BSS22" s="65"/>
      <c r="BST22" s="65"/>
      <c r="BSU22" s="65"/>
      <c r="BSV22" s="65"/>
      <c r="BSW22" s="65"/>
      <c r="BSX22" s="65"/>
      <c r="BSY22" s="65"/>
      <c r="BSZ22" s="65"/>
      <c r="BTA22" s="65"/>
      <c r="BTB22" s="65"/>
      <c r="BTC22" s="65"/>
      <c r="BTD22" s="65"/>
      <c r="BTE22" s="65"/>
      <c r="BTF22" s="65"/>
      <c r="BTG22" s="65"/>
      <c r="BTH22" s="65"/>
      <c r="BTI22" s="65"/>
      <c r="BTJ22" s="65"/>
      <c r="BTK22" s="65"/>
      <c r="BTL22" s="65"/>
      <c r="BTM22" s="65"/>
      <c r="BTN22" s="65"/>
      <c r="BTO22" s="65"/>
      <c r="BTP22" s="65"/>
      <c r="BTQ22" s="65"/>
      <c r="BTR22" s="65"/>
      <c r="BTS22" s="65"/>
      <c r="BTT22" s="65"/>
      <c r="BTU22" s="65"/>
      <c r="BTV22" s="65"/>
      <c r="BTW22" s="65"/>
      <c r="BTX22" s="65"/>
      <c r="BTY22" s="65"/>
      <c r="BTZ22" s="65"/>
      <c r="BUA22" s="65"/>
      <c r="BUB22" s="65"/>
      <c r="BUC22" s="65"/>
      <c r="BUD22" s="65"/>
      <c r="BUE22" s="65"/>
      <c r="BUF22" s="65"/>
      <c r="BUG22" s="65"/>
      <c r="BUH22" s="65"/>
      <c r="BUI22" s="65"/>
      <c r="BUJ22" s="65"/>
      <c r="BUK22" s="65"/>
      <c r="BUL22" s="65"/>
      <c r="BUM22" s="65"/>
      <c r="BUN22" s="65"/>
      <c r="BUO22" s="65"/>
      <c r="BUP22" s="65"/>
      <c r="BUQ22" s="65"/>
      <c r="BUR22" s="65"/>
      <c r="BUS22" s="65"/>
      <c r="BUT22" s="65"/>
      <c r="BUU22" s="65"/>
      <c r="BUV22" s="65"/>
      <c r="BUW22" s="65"/>
      <c r="BUX22" s="65"/>
      <c r="BUY22" s="65"/>
      <c r="BUZ22" s="65"/>
      <c r="BVA22" s="65"/>
      <c r="BVB22" s="65"/>
      <c r="BVC22" s="65"/>
      <c r="BVD22" s="65"/>
      <c r="BVE22" s="65"/>
      <c r="BVF22" s="65"/>
      <c r="BVG22" s="65"/>
      <c r="BVH22" s="65"/>
      <c r="BVI22" s="65"/>
      <c r="BVJ22" s="65"/>
      <c r="BVK22" s="65"/>
      <c r="BVL22" s="65"/>
      <c r="BVM22" s="65"/>
      <c r="BVN22" s="65"/>
      <c r="BVO22" s="65"/>
      <c r="BVP22" s="65"/>
      <c r="BVQ22" s="65"/>
      <c r="BVR22" s="65"/>
      <c r="BVS22" s="65"/>
      <c r="BVT22" s="65"/>
      <c r="BVU22" s="65"/>
      <c r="BVV22" s="65"/>
      <c r="BVW22" s="65"/>
      <c r="BVX22" s="65"/>
      <c r="BVY22" s="65"/>
      <c r="BVZ22" s="65"/>
      <c r="BWA22" s="65"/>
      <c r="BWB22" s="65"/>
      <c r="BWC22" s="65"/>
      <c r="BWD22" s="65"/>
      <c r="BWE22" s="65"/>
      <c r="BWF22" s="65"/>
      <c r="BWG22" s="65"/>
      <c r="BWH22" s="65"/>
      <c r="BWI22" s="65"/>
      <c r="BWJ22" s="65"/>
      <c r="BWK22" s="65"/>
      <c r="BWL22" s="65"/>
      <c r="BWM22" s="65"/>
      <c r="BWN22" s="65"/>
      <c r="BWO22" s="65"/>
      <c r="BWP22" s="65"/>
      <c r="BWQ22" s="65"/>
      <c r="BWR22" s="65"/>
      <c r="BWS22" s="65"/>
      <c r="BWT22" s="65"/>
      <c r="BWU22" s="65"/>
      <c r="BWV22" s="65"/>
      <c r="BWW22" s="65"/>
      <c r="BWX22" s="65"/>
      <c r="BWY22" s="65"/>
      <c r="BWZ22" s="65"/>
      <c r="BXA22" s="65"/>
      <c r="BXB22" s="65"/>
      <c r="BXC22" s="65"/>
      <c r="BXD22" s="65"/>
      <c r="BXE22" s="65"/>
      <c r="BXF22" s="65"/>
      <c r="BXG22" s="65"/>
      <c r="BXH22" s="65"/>
      <c r="BXI22" s="65"/>
      <c r="BXJ22" s="65"/>
      <c r="BXK22" s="65"/>
      <c r="BXL22" s="65"/>
      <c r="BXM22" s="65"/>
      <c r="BXN22" s="65"/>
      <c r="BXO22" s="65"/>
      <c r="BXP22" s="65"/>
      <c r="BXQ22" s="65"/>
      <c r="BXR22" s="65"/>
      <c r="BXS22" s="65"/>
      <c r="BXT22" s="65"/>
      <c r="BXU22" s="65"/>
      <c r="BXV22" s="65"/>
      <c r="BXW22" s="65"/>
      <c r="BXX22" s="65"/>
      <c r="BXY22" s="65"/>
      <c r="BXZ22" s="65"/>
      <c r="BYA22" s="65"/>
      <c r="BYB22" s="65"/>
      <c r="BYC22" s="65"/>
      <c r="BYD22" s="65"/>
      <c r="BYE22" s="65"/>
      <c r="BYF22" s="65"/>
      <c r="BYG22" s="65"/>
      <c r="BYH22" s="65"/>
      <c r="BYI22" s="65"/>
      <c r="BYJ22" s="65"/>
      <c r="BYK22" s="65"/>
      <c r="BYL22" s="65"/>
      <c r="BYM22" s="65"/>
      <c r="BYN22" s="65"/>
      <c r="BYO22" s="65"/>
      <c r="BYP22" s="65"/>
      <c r="BYQ22" s="65"/>
      <c r="BYR22" s="65"/>
      <c r="BYS22" s="65"/>
      <c r="BYT22" s="65"/>
      <c r="BYU22" s="65"/>
      <c r="BYV22" s="65"/>
      <c r="BYW22" s="65"/>
      <c r="BYX22" s="65"/>
      <c r="BYY22" s="65"/>
      <c r="BYZ22" s="65"/>
      <c r="BZA22" s="65"/>
      <c r="BZB22" s="65"/>
      <c r="BZC22" s="65"/>
      <c r="BZD22" s="65"/>
      <c r="BZE22" s="65"/>
      <c r="BZF22" s="65"/>
      <c r="BZG22" s="65"/>
      <c r="BZH22" s="65"/>
      <c r="BZI22" s="65"/>
      <c r="BZJ22" s="65"/>
      <c r="BZK22" s="65"/>
      <c r="BZL22" s="65"/>
      <c r="BZM22" s="65"/>
      <c r="BZN22" s="65"/>
      <c r="BZO22" s="65"/>
      <c r="BZP22" s="65"/>
      <c r="BZQ22" s="65"/>
      <c r="BZR22" s="65"/>
      <c r="BZS22" s="65"/>
      <c r="BZT22" s="65"/>
      <c r="BZU22" s="65"/>
      <c r="BZV22" s="65"/>
      <c r="BZW22" s="65"/>
      <c r="BZX22" s="65"/>
      <c r="BZY22" s="65"/>
      <c r="BZZ22" s="65"/>
      <c r="CAA22" s="65"/>
      <c r="CAB22" s="65"/>
      <c r="CAC22" s="65"/>
      <c r="CAD22" s="65"/>
      <c r="CAE22" s="65"/>
      <c r="CAF22" s="65"/>
      <c r="CAG22" s="65"/>
      <c r="CAH22" s="65"/>
      <c r="CAI22" s="65"/>
      <c r="CAJ22" s="65"/>
      <c r="CAK22" s="65"/>
      <c r="CAL22" s="65"/>
      <c r="CAM22" s="65"/>
      <c r="CAN22" s="65"/>
      <c r="CAO22" s="65"/>
      <c r="CAP22" s="65"/>
      <c r="CAQ22" s="65"/>
      <c r="CAR22" s="65"/>
      <c r="CAS22" s="65"/>
      <c r="CAT22" s="65"/>
      <c r="CAU22" s="65"/>
      <c r="CAV22" s="65"/>
      <c r="CAW22" s="65"/>
      <c r="CAX22" s="65"/>
      <c r="CAY22" s="65"/>
      <c r="CAZ22" s="65"/>
      <c r="CBA22" s="65"/>
      <c r="CBB22" s="65"/>
      <c r="CBC22" s="65"/>
      <c r="CBD22" s="65"/>
      <c r="CBE22" s="65"/>
      <c r="CBF22" s="65"/>
      <c r="CBG22" s="65"/>
      <c r="CBH22" s="65"/>
      <c r="CBI22" s="65"/>
      <c r="CBJ22" s="65"/>
      <c r="CBK22" s="65"/>
      <c r="CBL22" s="65"/>
      <c r="CBM22" s="65"/>
      <c r="CBN22" s="65"/>
      <c r="CBO22" s="65"/>
      <c r="CBP22" s="65"/>
      <c r="CBQ22" s="65"/>
      <c r="CBR22" s="65"/>
      <c r="CBS22" s="65"/>
      <c r="CBT22" s="65"/>
      <c r="CBU22" s="65"/>
      <c r="CBV22" s="65"/>
      <c r="CBW22" s="65"/>
      <c r="CBX22" s="65"/>
      <c r="CBY22" s="65"/>
      <c r="CBZ22" s="65"/>
      <c r="CCA22" s="65"/>
      <c r="CCB22" s="65"/>
      <c r="CCC22" s="65"/>
      <c r="CCD22" s="65"/>
      <c r="CCE22" s="65"/>
      <c r="CCF22" s="65"/>
      <c r="CCG22" s="65"/>
      <c r="CCH22" s="65"/>
      <c r="CCI22" s="65"/>
      <c r="CCJ22" s="65"/>
      <c r="CCK22" s="65"/>
      <c r="CCL22" s="65"/>
      <c r="CCM22" s="65"/>
      <c r="CCN22" s="65"/>
      <c r="CCO22" s="65"/>
      <c r="CCP22" s="65"/>
      <c r="CCQ22" s="65"/>
      <c r="CCR22" s="65"/>
      <c r="CCS22" s="65"/>
      <c r="CCT22" s="65"/>
      <c r="CCU22" s="65"/>
      <c r="CCV22" s="65"/>
      <c r="CCW22" s="65"/>
      <c r="CCX22" s="65"/>
      <c r="CCY22" s="65"/>
      <c r="CCZ22" s="65"/>
      <c r="CDA22" s="65"/>
      <c r="CDB22" s="65"/>
      <c r="CDC22" s="65"/>
      <c r="CDD22" s="65"/>
      <c r="CDE22" s="65"/>
      <c r="CDF22" s="65"/>
      <c r="CDG22" s="65"/>
      <c r="CDH22" s="65"/>
      <c r="CDI22" s="65"/>
      <c r="CDJ22" s="65"/>
      <c r="CDK22" s="65"/>
      <c r="CDL22" s="65"/>
      <c r="CDM22" s="65"/>
      <c r="CDN22" s="65"/>
      <c r="CDO22" s="65"/>
      <c r="CDP22" s="65"/>
      <c r="CDQ22" s="65"/>
      <c r="CDR22" s="65"/>
      <c r="CDS22" s="65"/>
      <c r="CDT22" s="65"/>
      <c r="CDU22" s="65"/>
      <c r="CDV22" s="65"/>
      <c r="CDW22" s="65"/>
      <c r="CDX22" s="65"/>
      <c r="CDY22" s="65"/>
      <c r="CDZ22" s="65"/>
      <c r="CEA22" s="65"/>
      <c r="CEB22" s="65"/>
      <c r="CEC22" s="65"/>
      <c r="CED22" s="65"/>
      <c r="CEE22" s="65"/>
      <c r="CEF22" s="65"/>
      <c r="CEG22" s="65"/>
      <c r="CEH22" s="65"/>
      <c r="CEI22" s="65"/>
      <c r="CEJ22" s="65"/>
      <c r="CEK22" s="65"/>
      <c r="CEL22" s="65"/>
      <c r="CEM22" s="65"/>
      <c r="CEN22" s="65"/>
      <c r="CEO22" s="65"/>
      <c r="CEP22" s="65"/>
      <c r="CEQ22" s="65"/>
      <c r="CER22" s="65"/>
      <c r="CES22" s="65"/>
      <c r="CET22" s="65"/>
      <c r="CEU22" s="65"/>
      <c r="CEV22" s="65"/>
      <c r="CEW22" s="65"/>
      <c r="CEX22" s="65"/>
      <c r="CEY22" s="65"/>
      <c r="CEZ22" s="65"/>
      <c r="CFA22" s="65"/>
      <c r="CFB22" s="65"/>
      <c r="CFC22" s="65"/>
      <c r="CFD22" s="65"/>
      <c r="CFE22" s="65"/>
      <c r="CFF22" s="65"/>
      <c r="CFG22" s="65"/>
      <c r="CFH22" s="65"/>
      <c r="CFI22" s="65"/>
      <c r="CFJ22" s="65"/>
      <c r="CFK22" s="65"/>
      <c r="CFL22" s="65"/>
      <c r="CFM22" s="65"/>
      <c r="CFN22" s="65"/>
      <c r="CFO22" s="65"/>
      <c r="CFP22" s="65"/>
      <c r="CFQ22" s="65"/>
      <c r="CFR22" s="65"/>
      <c r="CFS22" s="65"/>
      <c r="CFT22" s="65"/>
      <c r="CFU22" s="65"/>
      <c r="CFV22" s="65"/>
      <c r="CFW22" s="65"/>
      <c r="CFX22" s="65"/>
      <c r="CFY22" s="65"/>
      <c r="CFZ22" s="65"/>
      <c r="CGA22" s="65"/>
      <c r="CGB22" s="65"/>
      <c r="CGC22" s="65"/>
      <c r="CGD22" s="65"/>
      <c r="CGE22" s="65"/>
      <c r="CGF22" s="65"/>
      <c r="CGG22" s="65"/>
      <c r="CGH22" s="65"/>
      <c r="CGI22" s="65"/>
      <c r="CGJ22" s="65"/>
      <c r="CGK22" s="65"/>
      <c r="CGL22" s="65"/>
      <c r="CGM22" s="65"/>
      <c r="CGN22" s="65"/>
      <c r="CGO22" s="65"/>
      <c r="CGP22" s="65"/>
      <c r="CGQ22" s="65"/>
      <c r="CGR22" s="65"/>
      <c r="CGS22" s="65"/>
      <c r="CGT22" s="65"/>
      <c r="CGU22" s="65"/>
      <c r="CGV22" s="65"/>
      <c r="CGW22" s="65"/>
      <c r="CGX22" s="65"/>
      <c r="CGY22" s="65"/>
      <c r="CGZ22" s="65"/>
      <c r="CHA22" s="65"/>
      <c r="CHB22" s="65"/>
      <c r="CHC22" s="65"/>
      <c r="CHD22" s="65"/>
      <c r="CHE22" s="65"/>
      <c r="CHF22" s="65"/>
      <c r="CHG22" s="65"/>
      <c r="CHH22" s="65"/>
      <c r="CHI22" s="65"/>
      <c r="CHJ22" s="65"/>
      <c r="CHK22" s="65"/>
      <c r="CHL22" s="65"/>
      <c r="CHM22" s="65"/>
      <c r="CHN22" s="65"/>
      <c r="CHO22" s="65"/>
      <c r="CHP22" s="65"/>
      <c r="CHQ22" s="65"/>
      <c r="CHR22" s="65"/>
      <c r="CHS22" s="65"/>
      <c r="CHT22" s="65"/>
      <c r="CHU22" s="65"/>
      <c r="CHV22" s="65"/>
      <c r="CHW22" s="65"/>
      <c r="CHX22" s="65"/>
      <c r="CHY22" s="65"/>
      <c r="CHZ22" s="65"/>
      <c r="CIA22" s="65"/>
      <c r="CIB22" s="65"/>
      <c r="CIC22" s="65"/>
      <c r="CID22" s="65"/>
      <c r="CIE22" s="65"/>
      <c r="CIF22" s="65"/>
      <c r="CIG22" s="65"/>
      <c r="CIH22" s="65"/>
      <c r="CII22" s="65"/>
      <c r="CIJ22" s="65"/>
      <c r="CIK22" s="65"/>
      <c r="CIL22" s="65"/>
      <c r="CIM22" s="65"/>
      <c r="CIN22" s="65"/>
      <c r="CIO22" s="65"/>
      <c r="CIP22" s="65"/>
      <c r="CIQ22" s="65"/>
      <c r="CIR22" s="65"/>
      <c r="CIS22" s="65"/>
      <c r="CIT22" s="65"/>
      <c r="CIU22" s="65"/>
      <c r="CIV22" s="65"/>
      <c r="CIW22" s="65"/>
      <c r="CIX22" s="65"/>
      <c r="CIY22" s="65"/>
      <c r="CIZ22" s="65"/>
      <c r="CJA22" s="65"/>
      <c r="CJB22" s="65"/>
      <c r="CJC22" s="65"/>
      <c r="CJD22" s="65"/>
      <c r="CJE22" s="65"/>
      <c r="CJF22" s="65"/>
      <c r="CJG22" s="65"/>
      <c r="CJH22" s="65"/>
      <c r="CJI22" s="65"/>
      <c r="CJJ22" s="65"/>
      <c r="CJK22" s="65"/>
      <c r="CJL22" s="65"/>
      <c r="CJM22" s="65"/>
      <c r="CJN22" s="65"/>
      <c r="CJO22" s="65"/>
      <c r="CJP22" s="65"/>
      <c r="CJQ22" s="65"/>
      <c r="CJR22" s="65"/>
      <c r="CJS22" s="65"/>
      <c r="CJT22" s="65"/>
      <c r="CJU22" s="65"/>
      <c r="CJV22" s="65"/>
      <c r="CJW22" s="65"/>
      <c r="CJX22" s="65"/>
      <c r="CJY22" s="65"/>
      <c r="CJZ22" s="65"/>
      <c r="CKA22" s="65"/>
      <c r="CKB22" s="65"/>
      <c r="CKC22" s="65"/>
      <c r="CKD22" s="65"/>
      <c r="CKE22" s="65"/>
      <c r="CKF22" s="65"/>
      <c r="CKG22" s="65"/>
      <c r="CKH22" s="65"/>
      <c r="CKI22" s="65"/>
      <c r="CKJ22" s="65"/>
      <c r="CKK22" s="65"/>
      <c r="CKL22" s="65"/>
      <c r="CKM22" s="65"/>
      <c r="CKN22" s="65"/>
      <c r="CKO22" s="65"/>
      <c r="CKP22" s="65"/>
      <c r="CKQ22" s="65"/>
      <c r="CKR22" s="65"/>
      <c r="CKS22" s="65"/>
      <c r="CKT22" s="65"/>
      <c r="CKU22" s="65"/>
      <c r="CKV22" s="65"/>
      <c r="CKW22" s="65"/>
      <c r="CKX22" s="65"/>
      <c r="CKY22" s="65"/>
      <c r="CKZ22" s="65"/>
      <c r="CLA22" s="65"/>
      <c r="CLB22" s="65"/>
      <c r="CLC22" s="65"/>
      <c r="CLD22" s="65"/>
      <c r="CLE22" s="65"/>
      <c r="CLF22" s="65"/>
      <c r="CLG22" s="65"/>
      <c r="CLH22" s="65"/>
      <c r="CLI22" s="65"/>
      <c r="CLJ22" s="65"/>
      <c r="CLK22" s="65"/>
      <c r="CLL22" s="65"/>
      <c r="CLM22" s="65"/>
      <c r="CLN22" s="65"/>
      <c r="CLO22" s="65"/>
      <c r="CLP22" s="65"/>
      <c r="CLQ22" s="65"/>
      <c r="CLR22" s="65"/>
      <c r="CLS22" s="65"/>
      <c r="CLT22" s="65"/>
      <c r="CLU22" s="65"/>
      <c r="CLV22" s="65"/>
      <c r="CLW22" s="65"/>
      <c r="CLX22" s="65"/>
      <c r="CLY22" s="65"/>
      <c r="CLZ22" s="65"/>
      <c r="CMA22" s="65"/>
      <c r="CMB22" s="65"/>
      <c r="CMC22" s="65"/>
      <c r="CMD22" s="65"/>
      <c r="CME22" s="65"/>
      <c r="CMF22" s="65"/>
      <c r="CMG22" s="65"/>
      <c r="CMH22" s="65"/>
      <c r="CMI22" s="65"/>
      <c r="CMJ22" s="65"/>
      <c r="CMK22" s="65"/>
      <c r="CML22" s="65"/>
      <c r="CMM22" s="65"/>
      <c r="CMN22" s="65"/>
      <c r="CMO22" s="65"/>
      <c r="CMP22" s="65"/>
      <c r="CMQ22" s="65"/>
      <c r="CMR22" s="65"/>
      <c r="CMS22" s="65"/>
      <c r="CMT22" s="65"/>
      <c r="CMU22" s="65"/>
      <c r="CMV22" s="65"/>
      <c r="CMW22" s="65"/>
      <c r="CMX22" s="65"/>
      <c r="CMY22" s="65"/>
      <c r="CMZ22" s="65"/>
      <c r="CNA22" s="65"/>
      <c r="CNB22" s="65"/>
      <c r="CNC22" s="65"/>
      <c r="CND22" s="65"/>
      <c r="CNE22" s="65"/>
      <c r="CNF22" s="65"/>
      <c r="CNG22" s="65"/>
      <c r="CNH22" s="65"/>
      <c r="CNI22" s="65"/>
      <c r="CNJ22" s="65"/>
      <c r="CNK22" s="65"/>
      <c r="CNL22" s="65"/>
      <c r="CNM22" s="65"/>
      <c r="CNN22" s="65"/>
      <c r="CNO22" s="65"/>
      <c r="CNP22" s="65"/>
      <c r="CNQ22" s="65"/>
      <c r="CNR22" s="65"/>
      <c r="CNS22" s="65"/>
      <c r="CNT22" s="65"/>
      <c r="CNU22" s="65"/>
      <c r="CNV22" s="65"/>
      <c r="CNW22" s="65"/>
      <c r="CNX22" s="65"/>
      <c r="CNY22" s="65"/>
      <c r="CNZ22" s="65"/>
      <c r="COA22" s="65"/>
      <c r="COB22" s="65"/>
      <c r="COC22" s="65"/>
      <c r="COD22" s="65"/>
      <c r="COE22" s="65"/>
      <c r="COF22" s="65"/>
      <c r="COG22" s="65"/>
      <c r="COH22" s="65"/>
      <c r="COI22" s="65"/>
      <c r="COJ22" s="65"/>
      <c r="COK22" s="65"/>
      <c r="COL22" s="65"/>
      <c r="COM22" s="65"/>
      <c r="CON22" s="65"/>
      <c r="COO22" s="65"/>
      <c r="COP22" s="65"/>
      <c r="COQ22" s="65"/>
      <c r="COR22" s="65"/>
      <c r="COS22" s="65"/>
      <c r="COT22" s="65"/>
      <c r="COU22" s="65"/>
      <c r="COV22" s="65"/>
      <c r="COW22" s="65"/>
      <c r="COX22" s="65"/>
      <c r="COY22" s="65"/>
      <c r="COZ22" s="65"/>
      <c r="CPA22" s="65"/>
      <c r="CPB22" s="65"/>
      <c r="CPC22" s="65"/>
      <c r="CPD22" s="65"/>
      <c r="CPE22" s="65"/>
      <c r="CPF22" s="65"/>
      <c r="CPG22" s="65"/>
      <c r="CPH22" s="65"/>
      <c r="CPI22" s="65"/>
      <c r="CPJ22" s="65"/>
      <c r="CPK22" s="65"/>
      <c r="CPL22" s="65"/>
      <c r="CPM22" s="65"/>
      <c r="CPN22" s="65"/>
      <c r="CPO22" s="65"/>
      <c r="CPP22" s="65"/>
      <c r="CPQ22" s="65"/>
      <c r="CPR22" s="65"/>
      <c r="CPS22" s="65"/>
      <c r="CPT22" s="65"/>
      <c r="CPU22" s="65"/>
      <c r="CPV22" s="65"/>
      <c r="CPW22" s="65"/>
      <c r="CPX22" s="65"/>
      <c r="CPY22" s="65"/>
      <c r="CPZ22" s="65"/>
      <c r="CQA22" s="65"/>
      <c r="CQB22" s="65"/>
      <c r="CQC22" s="65"/>
      <c r="CQD22" s="65"/>
      <c r="CQE22" s="65"/>
      <c r="CQF22" s="65"/>
      <c r="CQG22" s="65"/>
      <c r="CQH22" s="65"/>
      <c r="CQI22" s="65"/>
      <c r="CQJ22" s="65"/>
      <c r="CQK22" s="65"/>
      <c r="CQL22" s="65"/>
      <c r="CQM22" s="65"/>
      <c r="CQN22" s="65"/>
      <c r="CQO22" s="65"/>
      <c r="CQP22" s="65"/>
      <c r="CQQ22" s="65"/>
      <c r="CQR22" s="65"/>
      <c r="CQS22" s="65"/>
      <c r="CQT22" s="65"/>
      <c r="CQU22" s="65"/>
      <c r="CQV22" s="65"/>
      <c r="CQW22" s="65"/>
      <c r="CQX22" s="65"/>
      <c r="CQY22" s="65"/>
      <c r="CQZ22" s="65"/>
      <c r="CRA22" s="65"/>
      <c r="CRB22" s="65"/>
      <c r="CRC22" s="65"/>
      <c r="CRD22" s="65"/>
      <c r="CRE22" s="65"/>
      <c r="CRF22" s="65"/>
      <c r="CRG22" s="65"/>
      <c r="CRH22" s="65"/>
      <c r="CRI22" s="65"/>
      <c r="CRJ22" s="65"/>
      <c r="CRK22" s="65"/>
      <c r="CRL22" s="65"/>
      <c r="CRM22" s="65"/>
      <c r="CRN22" s="65"/>
      <c r="CRO22" s="65"/>
      <c r="CRP22" s="65"/>
      <c r="CRQ22" s="65"/>
      <c r="CRR22" s="65"/>
      <c r="CRS22" s="65"/>
      <c r="CRT22" s="65"/>
      <c r="CRU22" s="65"/>
      <c r="CRV22" s="65"/>
      <c r="CRW22" s="65"/>
      <c r="CRX22" s="65"/>
      <c r="CRY22" s="65"/>
      <c r="CRZ22" s="65"/>
      <c r="CSA22" s="65"/>
      <c r="CSB22" s="65"/>
      <c r="CSC22" s="65"/>
      <c r="CSD22" s="65"/>
      <c r="CSE22" s="65"/>
      <c r="CSF22" s="65"/>
      <c r="CSG22" s="65"/>
      <c r="CSH22" s="65"/>
      <c r="CSI22" s="65"/>
      <c r="CSJ22" s="65"/>
      <c r="CSK22" s="65"/>
      <c r="CSL22" s="65"/>
      <c r="CSM22" s="65"/>
      <c r="CSN22" s="65"/>
      <c r="CSO22" s="65"/>
      <c r="CSP22" s="65"/>
      <c r="CSQ22" s="65"/>
      <c r="CSR22" s="65"/>
      <c r="CSS22" s="65"/>
      <c r="CST22" s="65"/>
      <c r="CSU22" s="65"/>
      <c r="CSV22" s="65"/>
      <c r="CSW22" s="65"/>
      <c r="CSX22" s="65"/>
      <c r="CSY22" s="65"/>
      <c r="CSZ22" s="65"/>
      <c r="CTA22" s="65"/>
      <c r="CTB22" s="65"/>
      <c r="CTC22" s="65"/>
      <c r="CTD22" s="65"/>
      <c r="CTE22" s="65"/>
      <c r="CTF22" s="65"/>
      <c r="CTG22" s="65"/>
      <c r="CTH22" s="65"/>
      <c r="CTI22" s="65"/>
      <c r="CTJ22" s="65"/>
      <c r="CTK22" s="65"/>
      <c r="CTL22" s="65"/>
      <c r="CTM22" s="65"/>
      <c r="CTN22" s="65"/>
      <c r="CTO22" s="65"/>
      <c r="CTP22" s="65"/>
      <c r="CTQ22" s="65"/>
      <c r="CTR22" s="65"/>
      <c r="CTS22" s="65"/>
      <c r="CTT22" s="65"/>
      <c r="CTU22" s="65"/>
      <c r="CTV22" s="65"/>
      <c r="CTW22" s="65"/>
      <c r="CTX22" s="65"/>
      <c r="CTY22" s="65"/>
      <c r="CTZ22" s="65"/>
      <c r="CUA22" s="65"/>
      <c r="CUB22" s="65"/>
      <c r="CUC22" s="65"/>
      <c r="CUD22" s="65"/>
      <c r="CUE22" s="65"/>
      <c r="CUF22" s="65"/>
      <c r="CUG22" s="65"/>
      <c r="CUH22" s="65"/>
      <c r="CUI22" s="65"/>
      <c r="CUJ22" s="65"/>
      <c r="CUK22" s="65"/>
      <c r="CUL22" s="65"/>
      <c r="CUM22" s="65"/>
      <c r="CUN22" s="65"/>
      <c r="CUO22" s="65"/>
      <c r="CUP22" s="65"/>
      <c r="CUQ22" s="65"/>
      <c r="CUR22" s="65"/>
      <c r="CUS22" s="65"/>
      <c r="CUT22" s="65"/>
      <c r="CUU22" s="65"/>
      <c r="CUV22" s="65"/>
      <c r="CUW22" s="65"/>
      <c r="CUX22" s="65"/>
      <c r="CUY22" s="65"/>
      <c r="CUZ22" s="65"/>
      <c r="CVA22" s="65"/>
      <c r="CVB22" s="65"/>
      <c r="CVC22" s="65"/>
      <c r="CVD22" s="65"/>
      <c r="CVE22" s="65"/>
      <c r="CVF22" s="65"/>
      <c r="CVG22" s="65"/>
      <c r="CVH22" s="65"/>
      <c r="CVI22" s="65"/>
      <c r="CVJ22" s="65"/>
      <c r="CVK22" s="65"/>
      <c r="CVL22" s="65"/>
      <c r="CVM22" s="65"/>
      <c r="CVN22" s="65"/>
      <c r="CVO22" s="65"/>
      <c r="CVP22" s="65"/>
      <c r="CVQ22" s="65"/>
      <c r="CVR22" s="65"/>
      <c r="CVS22" s="65"/>
      <c r="CVT22" s="65"/>
      <c r="CVU22" s="65"/>
      <c r="CVV22" s="65"/>
      <c r="CVW22" s="65"/>
      <c r="CVX22" s="65"/>
      <c r="CVY22" s="65"/>
      <c r="CVZ22" s="65"/>
      <c r="CWA22" s="65"/>
      <c r="CWB22" s="65"/>
      <c r="CWC22" s="65"/>
      <c r="CWD22" s="65"/>
      <c r="CWE22" s="65"/>
      <c r="CWF22" s="65"/>
      <c r="CWG22" s="65"/>
      <c r="CWH22" s="65"/>
      <c r="CWI22" s="65"/>
      <c r="CWJ22" s="65"/>
      <c r="CWK22" s="65"/>
      <c r="CWL22" s="65"/>
      <c r="CWM22" s="65"/>
      <c r="CWN22" s="65"/>
      <c r="CWO22" s="65"/>
      <c r="CWP22" s="65"/>
      <c r="CWQ22" s="65"/>
      <c r="CWR22" s="65"/>
      <c r="CWS22" s="65"/>
      <c r="CWT22" s="65"/>
      <c r="CWU22" s="65"/>
      <c r="CWV22" s="65"/>
      <c r="CWW22" s="65"/>
      <c r="CWX22" s="65"/>
      <c r="CWY22" s="65"/>
      <c r="CWZ22" s="65"/>
      <c r="CXA22" s="65"/>
      <c r="CXB22" s="65"/>
      <c r="CXC22" s="65"/>
      <c r="CXD22" s="65"/>
      <c r="CXE22" s="65"/>
      <c r="CXF22" s="65"/>
      <c r="CXG22" s="65"/>
      <c r="CXH22" s="65"/>
      <c r="CXI22" s="65"/>
      <c r="CXJ22" s="65"/>
      <c r="CXK22" s="65"/>
      <c r="CXL22" s="65"/>
      <c r="CXM22" s="65"/>
      <c r="CXN22" s="65"/>
      <c r="CXO22" s="65"/>
      <c r="CXP22" s="65"/>
      <c r="CXQ22" s="65"/>
      <c r="CXR22" s="65"/>
      <c r="CXS22" s="65"/>
      <c r="CXT22" s="65"/>
      <c r="CXU22" s="65"/>
      <c r="CXV22" s="65"/>
      <c r="CXW22" s="65"/>
      <c r="CXX22" s="65"/>
      <c r="CXY22" s="65"/>
      <c r="CXZ22" s="65"/>
      <c r="CYA22" s="65"/>
      <c r="CYB22" s="65"/>
      <c r="CYC22" s="65"/>
      <c r="CYD22" s="65"/>
      <c r="CYE22" s="65"/>
      <c r="CYF22" s="65"/>
      <c r="CYG22" s="65"/>
      <c r="CYH22" s="65"/>
      <c r="CYI22" s="65"/>
      <c r="CYJ22" s="65"/>
      <c r="CYK22" s="65"/>
      <c r="CYL22" s="65"/>
      <c r="CYM22" s="65"/>
      <c r="CYN22" s="65"/>
      <c r="CYO22" s="65"/>
      <c r="CYP22" s="65"/>
      <c r="CYQ22" s="65"/>
      <c r="CYR22" s="65"/>
      <c r="CYS22" s="65"/>
      <c r="CYT22" s="65"/>
      <c r="CYU22" s="65"/>
      <c r="CYV22" s="65"/>
      <c r="CYW22" s="65"/>
      <c r="CYX22" s="65"/>
      <c r="CYY22" s="65"/>
      <c r="CYZ22" s="65"/>
      <c r="CZA22" s="65"/>
      <c r="CZB22" s="65"/>
      <c r="CZC22" s="65"/>
      <c r="CZD22" s="65"/>
      <c r="CZE22" s="65"/>
      <c r="CZF22" s="65"/>
      <c r="CZG22" s="65"/>
      <c r="CZH22" s="65"/>
      <c r="CZI22" s="65"/>
      <c r="CZJ22" s="65"/>
      <c r="CZK22" s="65"/>
      <c r="CZL22" s="65"/>
      <c r="CZM22" s="65"/>
      <c r="CZN22" s="65"/>
      <c r="CZO22" s="65"/>
      <c r="CZP22" s="65"/>
      <c r="CZQ22" s="65"/>
      <c r="CZR22" s="65"/>
      <c r="CZS22" s="65"/>
      <c r="CZT22" s="65"/>
      <c r="CZU22" s="65"/>
      <c r="CZV22" s="65"/>
      <c r="CZW22" s="65"/>
      <c r="CZX22" s="65"/>
      <c r="CZY22" s="65"/>
      <c r="CZZ22" s="65"/>
      <c r="DAA22" s="65"/>
      <c r="DAB22" s="65"/>
      <c r="DAC22" s="65"/>
      <c r="DAD22" s="65"/>
      <c r="DAE22" s="65"/>
      <c r="DAF22" s="65"/>
      <c r="DAG22" s="65"/>
      <c r="DAH22" s="65"/>
      <c r="DAI22" s="65"/>
      <c r="DAJ22" s="65"/>
      <c r="DAK22" s="65"/>
      <c r="DAL22" s="65"/>
      <c r="DAM22" s="65"/>
      <c r="DAN22" s="65"/>
      <c r="DAO22" s="65"/>
      <c r="DAP22" s="65"/>
      <c r="DAQ22" s="65"/>
      <c r="DAR22" s="65"/>
      <c r="DAS22" s="65"/>
      <c r="DAT22" s="65"/>
      <c r="DAU22" s="65"/>
      <c r="DAV22" s="65"/>
      <c r="DAW22" s="65"/>
      <c r="DAX22" s="65"/>
      <c r="DAY22" s="65"/>
      <c r="DAZ22" s="65"/>
      <c r="DBA22" s="65"/>
      <c r="DBB22" s="65"/>
      <c r="DBC22" s="65"/>
      <c r="DBD22" s="65"/>
      <c r="DBE22" s="65"/>
      <c r="DBF22" s="65"/>
      <c r="DBG22" s="65"/>
      <c r="DBH22" s="65"/>
      <c r="DBI22" s="65"/>
      <c r="DBJ22" s="65"/>
      <c r="DBK22" s="65"/>
      <c r="DBL22" s="65"/>
      <c r="DBM22" s="65"/>
      <c r="DBN22" s="65"/>
      <c r="DBO22" s="65"/>
      <c r="DBP22" s="65"/>
      <c r="DBQ22" s="65"/>
      <c r="DBR22" s="65"/>
      <c r="DBS22" s="65"/>
      <c r="DBT22" s="65"/>
      <c r="DBU22" s="65"/>
      <c r="DBV22" s="65"/>
      <c r="DBW22" s="65"/>
      <c r="DBX22" s="65"/>
      <c r="DBY22" s="65"/>
      <c r="DBZ22" s="65"/>
      <c r="DCA22" s="65"/>
      <c r="DCB22" s="65"/>
      <c r="DCC22" s="65"/>
      <c r="DCD22" s="65"/>
      <c r="DCE22" s="65"/>
      <c r="DCF22" s="65"/>
      <c r="DCG22" s="65"/>
      <c r="DCH22" s="65"/>
      <c r="DCI22" s="65"/>
      <c r="DCJ22" s="65"/>
      <c r="DCK22" s="65"/>
      <c r="DCL22" s="65"/>
      <c r="DCM22" s="65"/>
      <c r="DCN22" s="65"/>
      <c r="DCO22" s="65"/>
      <c r="DCP22" s="65"/>
      <c r="DCQ22" s="65"/>
      <c r="DCR22" s="65"/>
      <c r="DCS22" s="65"/>
      <c r="DCT22" s="65"/>
      <c r="DCU22" s="65"/>
      <c r="DCV22" s="65"/>
      <c r="DCW22" s="65"/>
      <c r="DCX22" s="65"/>
      <c r="DCY22" s="65"/>
      <c r="DCZ22" s="65"/>
      <c r="DDA22" s="65"/>
      <c r="DDB22" s="65"/>
      <c r="DDC22" s="65"/>
      <c r="DDD22" s="65"/>
      <c r="DDE22" s="65"/>
      <c r="DDF22" s="65"/>
      <c r="DDG22" s="65"/>
      <c r="DDH22" s="65"/>
      <c r="DDI22" s="65"/>
      <c r="DDJ22" s="65"/>
      <c r="DDK22" s="65"/>
      <c r="DDL22" s="65"/>
      <c r="DDM22" s="65"/>
      <c r="DDN22" s="65"/>
      <c r="DDO22" s="65"/>
      <c r="DDP22" s="65"/>
      <c r="DDQ22" s="65"/>
      <c r="DDR22" s="65"/>
      <c r="DDS22" s="65"/>
      <c r="DDT22" s="65"/>
      <c r="DDU22" s="65"/>
      <c r="DDV22" s="65"/>
      <c r="DDW22" s="65"/>
      <c r="DDX22" s="65"/>
      <c r="DDY22" s="65"/>
      <c r="DDZ22" s="65"/>
      <c r="DEA22" s="65"/>
      <c r="DEB22" s="65"/>
      <c r="DEC22" s="65"/>
      <c r="DED22" s="65"/>
      <c r="DEE22" s="65"/>
      <c r="DEF22" s="65"/>
      <c r="DEG22" s="65"/>
      <c r="DEH22" s="65"/>
      <c r="DEI22" s="65"/>
      <c r="DEJ22" s="65"/>
      <c r="DEK22" s="65"/>
      <c r="DEL22" s="65"/>
      <c r="DEM22" s="65"/>
      <c r="DEN22" s="65"/>
      <c r="DEO22" s="65"/>
      <c r="DEP22" s="65"/>
      <c r="DEQ22" s="65"/>
      <c r="DER22" s="65"/>
      <c r="DES22" s="65"/>
      <c r="DET22" s="65"/>
      <c r="DEU22" s="65"/>
      <c r="DEV22" s="65"/>
      <c r="DEW22" s="65"/>
      <c r="DEX22" s="65"/>
      <c r="DEY22" s="65"/>
      <c r="DEZ22" s="65"/>
      <c r="DFA22" s="65"/>
      <c r="DFB22" s="65"/>
      <c r="DFC22" s="65"/>
      <c r="DFD22" s="65"/>
      <c r="DFE22" s="65"/>
      <c r="DFF22" s="65"/>
      <c r="DFG22" s="65"/>
      <c r="DFH22" s="65"/>
      <c r="DFI22" s="65"/>
      <c r="DFJ22" s="65"/>
      <c r="DFK22" s="65"/>
      <c r="DFL22" s="65"/>
      <c r="DFM22" s="65"/>
      <c r="DFN22" s="65"/>
      <c r="DFO22" s="65"/>
      <c r="DFP22" s="65"/>
      <c r="DFQ22" s="65"/>
      <c r="DFR22" s="65"/>
      <c r="DFS22" s="65"/>
      <c r="DFT22" s="65"/>
      <c r="DFU22" s="65"/>
      <c r="DFV22" s="65"/>
      <c r="DFW22" s="65"/>
      <c r="DFX22" s="65"/>
      <c r="DFY22" s="65"/>
      <c r="DFZ22" s="65"/>
      <c r="DGA22" s="65"/>
      <c r="DGB22" s="65"/>
      <c r="DGC22" s="65"/>
      <c r="DGD22" s="65"/>
      <c r="DGE22" s="65"/>
      <c r="DGF22" s="65"/>
      <c r="DGG22" s="65"/>
      <c r="DGH22" s="65"/>
      <c r="DGI22" s="65"/>
      <c r="DGJ22" s="65"/>
      <c r="DGK22" s="65"/>
      <c r="DGL22" s="65"/>
      <c r="DGM22" s="65"/>
      <c r="DGN22" s="65"/>
      <c r="DGO22" s="65"/>
      <c r="DGP22" s="65"/>
      <c r="DGQ22" s="65"/>
      <c r="DGR22" s="65"/>
      <c r="DGS22" s="65"/>
      <c r="DGT22" s="65"/>
      <c r="DGU22" s="65"/>
      <c r="DGV22" s="65"/>
      <c r="DGW22" s="65"/>
      <c r="DGX22" s="65"/>
      <c r="DGY22" s="65"/>
      <c r="DGZ22" s="65"/>
      <c r="DHA22" s="65"/>
      <c r="DHB22" s="65"/>
      <c r="DHC22" s="65"/>
      <c r="DHD22" s="65"/>
      <c r="DHE22" s="65"/>
      <c r="DHF22" s="65"/>
      <c r="DHG22" s="65"/>
      <c r="DHH22" s="65"/>
      <c r="DHI22" s="65"/>
      <c r="DHJ22" s="65"/>
      <c r="DHK22" s="65"/>
      <c r="DHL22" s="65"/>
      <c r="DHM22" s="65"/>
      <c r="DHN22" s="65"/>
      <c r="DHO22" s="65"/>
      <c r="DHP22" s="65"/>
      <c r="DHQ22" s="65"/>
      <c r="DHR22" s="65"/>
      <c r="DHS22" s="65"/>
      <c r="DHT22" s="65"/>
      <c r="DHU22" s="65"/>
      <c r="DHV22" s="65"/>
      <c r="DHW22" s="65"/>
      <c r="DHX22" s="65"/>
      <c r="DHY22" s="65"/>
      <c r="DHZ22" s="65"/>
      <c r="DIA22" s="65"/>
      <c r="DIB22" s="65"/>
      <c r="DIC22" s="65"/>
      <c r="DID22" s="65"/>
      <c r="DIE22" s="65"/>
      <c r="DIF22" s="65"/>
      <c r="DIG22" s="65"/>
      <c r="DIH22" s="65"/>
      <c r="DII22" s="65"/>
      <c r="DIJ22" s="65"/>
      <c r="DIK22" s="65"/>
      <c r="DIL22" s="65"/>
      <c r="DIM22" s="65"/>
      <c r="DIN22" s="65"/>
      <c r="DIO22" s="65"/>
      <c r="DIP22" s="65"/>
      <c r="DIQ22" s="65"/>
      <c r="DIR22" s="65"/>
      <c r="DIS22" s="65"/>
      <c r="DIT22" s="65"/>
      <c r="DIU22" s="65"/>
      <c r="DIV22" s="65"/>
      <c r="DIW22" s="65"/>
      <c r="DIX22" s="65"/>
      <c r="DIY22" s="65"/>
      <c r="DIZ22" s="65"/>
      <c r="DJA22" s="65"/>
      <c r="DJB22" s="65"/>
      <c r="DJC22" s="65"/>
      <c r="DJD22" s="65"/>
      <c r="DJE22" s="65"/>
      <c r="DJF22" s="65"/>
      <c r="DJG22" s="65"/>
      <c r="DJH22" s="65"/>
      <c r="DJI22" s="65"/>
      <c r="DJJ22" s="65"/>
      <c r="DJK22" s="65"/>
      <c r="DJL22" s="65"/>
      <c r="DJM22" s="65"/>
      <c r="DJN22" s="65"/>
      <c r="DJO22" s="65"/>
      <c r="DJP22" s="65"/>
      <c r="DJQ22" s="65"/>
      <c r="DJR22" s="65"/>
      <c r="DJS22" s="65"/>
      <c r="DJT22" s="65"/>
      <c r="DJU22" s="65"/>
      <c r="DJV22" s="65"/>
      <c r="DJW22" s="65"/>
      <c r="DJX22" s="65"/>
      <c r="DJY22" s="65"/>
      <c r="DJZ22" s="65"/>
      <c r="DKA22" s="65"/>
      <c r="DKB22" s="65"/>
      <c r="DKC22" s="65"/>
      <c r="DKD22" s="65"/>
      <c r="DKE22" s="65"/>
      <c r="DKF22" s="65"/>
      <c r="DKG22" s="65"/>
      <c r="DKH22" s="65"/>
      <c r="DKI22" s="65"/>
      <c r="DKJ22" s="65"/>
      <c r="DKK22" s="65"/>
      <c r="DKL22" s="65"/>
      <c r="DKM22" s="65"/>
      <c r="DKN22" s="65"/>
      <c r="DKO22" s="65"/>
      <c r="DKP22" s="65"/>
      <c r="DKQ22" s="65"/>
      <c r="DKR22" s="65"/>
      <c r="DKS22" s="65"/>
      <c r="DKT22" s="65"/>
      <c r="DKU22" s="65"/>
      <c r="DKV22" s="65"/>
      <c r="DKW22" s="65"/>
      <c r="DKX22" s="65"/>
      <c r="DKY22" s="65"/>
      <c r="DKZ22" s="65"/>
      <c r="DLA22" s="65"/>
      <c r="DLB22" s="65"/>
      <c r="DLC22" s="65"/>
      <c r="DLD22" s="65"/>
      <c r="DLE22" s="65"/>
      <c r="DLF22" s="65"/>
      <c r="DLG22" s="65"/>
      <c r="DLH22" s="65"/>
      <c r="DLI22" s="65"/>
      <c r="DLJ22" s="65"/>
      <c r="DLK22" s="65"/>
      <c r="DLL22" s="65"/>
      <c r="DLM22" s="65"/>
      <c r="DLN22" s="65"/>
      <c r="DLO22" s="65"/>
      <c r="DLP22" s="65"/>
      <c r="DLQ22" s="65"/>
      <c r="DLR22" s="65"/>
      <c r="DLS22" s="65"/>
      <c r="DLT22" s="65"/>
      <c r="DLU22" s="65"/>
      <c r="DLV22" s="65"/>
      <c r="DLW22" s="65"/>
      <c r="DLX22" s="65"/>
      <c r="DLY22" s="65"/>
      <c r="DLZ22" s="65"/>
      <c r="DMA22" s="65"/>
      <c r="DMB22" s="65"/>
      <c r="DMC22" s="65"/>
      <c r="DMD22" s="65"/>
      <c r="DME22" s="65"/>
      <c r="DMF22" s="65"/>
      <c r="DMG22" s="65"/>
      <c r="DMH22" s="65"/>
      <c r="DMI22" s="65"/>
      <c r="DMJ22" s="65"/>
      <c r="DMK22" s="65"/>
      <c r="DML22" s="65"/>
      <c r="DMM22" s="65"/>
      <c r="DMN22" s="65"/>
      <c r="DMO22" s="65"/>
      <c r="DMP22" s="65"/>
      <c r="DMQ22" s="65"/>
      <c r="DMR22" s="65"/>
      <c r="DMS22" s="65"/>
      <c r="DMT22" s="65"/>
      <c r="DMU22" s="65"/>
      <c r="DMV22" s="65"/>
      <c r="DMW22" s="65"/>
      <c r="DMX22" s="65"/>
      <c r="DMY22" s="65"/>
      <c r="DMZ22" s="65"/>
      <c r="DNA22" s="65"/>
      <c r="DNB22" s="65"/>
      <c r="DNC22" s="65"/>
      <c r="DND22" s="65"/>
      <c r="DNE22" s="65"/>
      <c r="DNF22" s="65"/>
      <c r="DNG22" s="65"/>
      <c r="DNH22" s="65"/>
      <c r="DNI22" s="65"/>
      <c r="DNJ22" s="65"/>
      <c r="DNK22" s="65"/>
      <c r="DNL22" s="65"/>
      <c r="DNM22" s="65"/>
      <c r="DNN22" s="65"/>
      <c r="DNO22" s="65"/>
      <c r="DNP22" s="65"/>
      <c r="DNQ22" s="65"/>
      <c r="DNR22" s="65"/>
      <c r="DNS22" s="65"/>
      <c r="DNT22" s="65"/>
      <c r="DNU22" s="65"/>
      <c r="DNV22" s="65"/>
      <c r="DNW22" s="65"/>
      <c r="DNX22" s="65"/>
      <c r="DNY22" s="65"/>
      <c r="DNZ22" s="65"/>
      <c r="DOA22" s="65"/>
      <c r="DOB22" s="65"/>
      <c r="DOC22" s="65"/>
      <c r="DOD22" s="65"/>
      <c r="DOE22" s="65"/>
      <c r="DOF22" s="65"/>
      <c r="DOG22" s="65"/>
      <c r="DOH22" s="65"/>
      <c r="DOI22" s="65"/>
      <c r="DOJ22" s="65"/>
      <c r="DOK22" s="65"/>
      <c r="DOL22" s="65"/>
      <c r="DOM22" s="65"/>
      <c r="DON22" s="65"/>
      <c r="DOO22" s="65"/>
      <c r="DOP22" s="65"/>
      <c r="DOQ22" s="65"/>
      <c r="DOR22" s="65"/>
      <c r="DOS22" s="65"/>
      <c r="DOT22" s="65"/>
      <c r="DOU22" s="65"/>
      <c r="DOV22" s="65"/>
      <c r="DOW22" s="65"/>
      <c r="DOX22" s="65"/>
      <c r="DOY22" s="65"/>
      <c r="DOZ22" s="65"/>
      <c r="DPA22" s="65"/>
      <c r="DPB22" s="65"/>
      <c r="DPC22" s="65"/>
      <c r="DPD22" s="65"/>
      <c r="DPE22" s="65"/>
      <c r="DPF22" s="65"/>
      <c r="DPG22" s="65"/>
      <c r="DPH22" s="65"/>
      <c r="DPI22" s="65"/>
      <c r="DPJ22" s="65"/>
      <c r="DPK22" s="65"/>
      <c r="DPL22" s="65"/>
      <c r="DPM22" s="65"/>
      <c r="DPN22" s="65"/>
      <c r="DPO22" s="65"/>
      <c r="DPP22" s="65"/>
      <c r="DPQ22" s="65"/>
      <c r="DPR22" s="65"/>
      <c r="DPS22" s="65"/>
      <c r="DPT22" s="65"/>
      <c r="DPU22" s="65"/>
      <c r="DPV22" s="65"/>
      <c r="DPW22" s="65"/>
      <c r="DPX22" s="65"/>
      <c r="DPY22" s="65"/>
      <c r="DPZ22" s="65"/>
      <c r="DQA22" s="65"/>
      <c r="DQB22" s="65"/>
      <c r="DQC22" s="65"/>
      <c r="DQD22" s="65"/>
      <c r="DQE22" s="65"/>
      <c r="DQF22" s="65"/>
      <c r="DQG22" s="65"/>
      <c r="DQH22" s="65"/>
      <c r="DQI22" s="65"/>
      <c r="DQJ22" s="65"/>
      <c r="DQK22" s="65"/>
      <c r="DQL22" s="65"/>
      <c r="DQM22" s="65"/>
      <c r="DQN22" s="65"/>
      <c r="DQO22" s="65"/>
      <c r="DQP22" s="65"/>
      <c r="DQQ22" s="65"/>
      <c r="DQR22" s="65"/>
      <c r="DQS22" s="65"/>
      <c r="DQT22" s="65"/>
      <c r="DQU22" s="65"/>
      <c r="DQV22" s="65"/>
      <c r="DQW22" s="65"/>
      <c r="DQX22" s="65"/>
      <c r="DQY22" s="65"/>
      <c r="DQZ22" s="65"/>
      <c r="DRA22" s="65"/>
      <c r="DRB22" s="65"/>
      <c r="DRC22" s="65"/>
      <c r="DRD22" s="65"/>
      <c r="DRE22" s="65"/>
      <c r="DRF22" s="65"/>
      <c r="DRG22" s="65"/>
      <c r="DRH22" s="65"/>
      <c r="DRI22" s="65"/>
      <c r="DRJ22" s="65"/>
      <c r="DRK22" s="65"/>
      <c r="DRL22" s="65"/>
      <c r="DRM22" s="65"/>
      <c r="DRN22" s="65"/>
      <c r="DRO22" s="65"/>
      <c r="DRP22" s="65"/>
      <c r="DRQ22" s="65"/>
      <c r="DRR22" s="65"/>
      <c r="DRS22" s="65"/>
      <c r="DRT22" s="65"/>
      <c r="DRU22" s="65"/>
      <c r="DRV22" s="65"/>
      <c r="DRW22" s="65"/>
      <c r="DRX22" s="65"/>
      <c r="DRY22" s="65"/>
      <c r="DRZ22" s="65"/>
      <c r="DSA22" s="65"/>
      <c r="DSB22" s="65"/>
      <c r="DSC22" s="65"/>
      <c r="DSD22" s="65"/>
      <c r="DSE22" s="65"/>
      <c r="DSF22" s="65"/>
      <c r="DSG22" s="65"/>
      <c r="DSH22" s="65"/>
      <c r="DSI22" s="65"/>
      <c r="DSJ22" s="65"/>
      <c r="DSK22" s="65"/>
      <c r="DSL22" s="65"/>
      <c r="DSM22" s="65"/>
      <c r="DSN22" s="65"/>
      <c r="DSO22" s="65"/>
      <c r="DSP22" s="65"/>
      <c r="DSQ22" s="65"/>
      <c r="DSR22" s="65"/>
      <c r="DSS22" s="65"/>
      <c r="DST22" s="65"/>
      <c r="DSU22" s="65"/>
      <c r="DSV22" s="65"/>
      <c r="DSW22" s="65"/>
      <c r="DSX22" s="65"/>
      <c r="DSY22" s="65"/>
      <c r="DSZ22" s="65"/>
      <c r="DTA22" s="65"/>
      <c r="DTB22" s="65"/>
      <c r="DTC22" s="65"/>
      <c r="DTD22" s="65"/>
      <c r="DTE22" s="65"/>
      <c r="DTF22" s="65"/>
      <c r="DTG22" s="65"/>
      <c r="DTH22" s="65"/>
      <c r="DTI22" s="65"/>
      <c r="DTJ22" s="65"/>
      <c r="DTK22" s="65"/>
      <c r="DTL22" s="65"/>
      <c r="DTM22" s="65"/>
      <c r="DTN22" s="65"/>
      <c r="DTO22" s="65"/>
      <c r="DTP22" s="65"/>
      <c r="DTQ22" s="65"/>
      <c r="DTR22" s="65"/>
      <c r="DTS22" s="65"/>
      <c r="DTT22" s="65"/>
      <c r="DTU22" s="65"/>
      <c r="DTV22" s="65"/>
      <c r="DTW22" s="65"/>
      <c r="DTX22" s="65"/>
      <c r="DTY22" s="65"/>
      <c r="DTZ22" s="65"/>
      <c r="DUA22" s="65"/>
      <c r="DUB22" s="65"/>
      <c r="DUC22" s="65"/>
      <c r="DUD22" s="65"/>
      <c r="DUE22" s="65"/>
      <c r="DUF22" s="65"/>
      <c r="DUG22" s="65"/>
      <c r="DUH22" s="65"/>
      <c r="DUI22" s="65"/>
      <c r="DUJ22" s="65"/>
      <c r="DUK22" s="65"/>
      <c r="DUL22" s="65"/>
      <c r="DUM22" s="65"/>
      <c r="DUN22" s="65"/>
      <c r="DUO22" s="65"/>
      <c r="DUP22" s="65"/>
      <c r="DUQ22" s="65"/>
      <c r="DUR22" s="65"/>
      <c r="DUS22" s="65"/>
      <c r="DUT22" s="65"/>
      <c r="DUU22" s="65"/>
      <c r="DUV22" s="65"/>
      <c r="DUW22" s="65"/>
      <c r="DUX22" s="65"/>
      <c r="DUY22" s="65"/>
      <c r="DUZ22" s="65"/>
      <c r="DVA22" s="65"/>
      <c r="DVB22" s="65"/>
      <c r="DVC22" s="65"/>
      <c r="DVD22" s="65"/>
      <c r="DVE22" s="65"/>
      <c r="DVF22" s="65"/>
      <c r="DVG22" s="65"/>
      <c r="DVH22" s="65"/>
      <c r="DVI22" s="65"/>
      <c r="DVJ22" s="65"/>
      <c r="DVK22" s="65"/>
      <c r="DVL22" s="65"/>
      <c r="DVM22" s="65"/>
      <c r="DVN22" s="65"/>
      <c r="DVO22" s="65"/>
      <c r="DVP22" s="65"/>
      <c r="DVQ22" s="65"/>
      <c r="DVR22" s="65"/>
      <c r="DVS22" s="65"/>
      <c r="DVT22" s="65"/>
      <c r="DVU22" s="65"/>
      <c r="DVV22" s="65"/>
      <c r="DVW22" s="65"/>
      <c r="DVX22" s="65"/>
      <c r="DVY22" s="65"/>
      <c r="DVZ22" s="65"/>
      <c r="DWA22" s="65"/>
      <c r="DWB22" s="65"/>
      <c r="DWC22" s="65"/>
      <c r="DWD22" s="65"/>
      <c r="DWE22" s="65"/>
      <c r="DWF22" s="65"/>
      <c r="DWG22" s="65"/>
      <c r="DWH22" s="65"/>
      <c r="DWI22" s="65"/>
      <c r="DWJ22" s="65"/>
      <c r="DWK22" s="65"/>
      <c r="DWL22" s="65"/>
      <c r="DWM22" s="65"/>
      <c r="DWN22" s="65"/>
      <c r="DWO22" s="65"/>
      <c r="DWP22" s="65"/>
      <c r="DWQ22" s="65"/>
      <c r="DWR22" s="65"/>
      <c r="DWS22" s="65"/>
      <c r="DWT22" s="65"/>
      <c r="DWU22" s="65"/>
      <c r="DWV22" s="65"/>
      <c r="DWW22" s="65"/>
      <c r="DWX22" s="65"/>
      <c r="DWY22" s="65"/>
      <c r="DWZ22" s="65"/>
      <c r="DXA22" s="65"/>
      <c r="DXB22" s="65"/>
      <c r="DXC22" s="65"/>
      <c r="DXD22" s="65"/>
      <c r="DXE22" s="65"/>
      <c r="DXF22" s="65"/>
      <c r="DXG22" s="65"/>
      <c r="DXH22" s="65"/>
      <c r="DXI22" s="65"/>
      <c r="DXJ22" s="65"/>
      <c r="DXK22" s="65"/>
      <c r="DXL22" s="65"/>
      <c r="DXM22" s="65"/>
      <c r="DXN22" s="65"/>
      <c r="DXO22" s="65"/>
      <c r="DXP22" s="65"/>
      <c r="DXQ22" s="65"/>
      <c r="DXR22" s="65"/>
      <c r="DXS22" s="65"/>
      <c r="DXT22" s="65"/>
      <c r="DXU22" s="65"/>
      <c r="DXV22" s="65"/>
      <c r="DXW22" s="65"/>
      <c r="DXX22" s="65"/>
      <c r="DXY22" s="65"/>
      <c r="DXZ22" s="65"/>
      <c r="DYA22" s="65"/>
      <c r="DYB22" s="65"/>
      <c r="DYC22" s="65"/>
      <c r="DYD22" s="65"/>
      <c r="DYE22" s="65"/>
      <c r="DYF22" s="65"/>
      <c r="DYG22" s="65"/>
      <c r="DYH22" s="65"/>
      <c r="DYI22" s="65"/>
      <c r="DYJ22" s="65"/>
      <c r="DYK22" s="65"/>
      <c r="DYL22" s="65"/>
      <c r="DYM22" s="65"/>
      <c r="DYN22" s="65"/>
      <c r="DYO22" s="65"/>
      <c r="DYP22" s="65"/>
      <c r="DYQ22" s="65"/>
      <c r="DYR22" s="65"/>
      <c r="DYS22" s="65"/>
      <c r="DYT22" s="65"/>
      <c r="DYU22" s="65"/>
      <c r="DYV22" s="65"/>
      <c r="DYW22" s="65"/>
      <c r="DYX22" s="65"/>
      <c r="DYY22" s="65"/>
      <c r="DYZ22" s="65"/>
      <c r="DZA22" s="65"/>
      <c r="DZB22" s="65"/>
      <c r="DZC22" s="65"/>
      <c r="DZD22" s="65"/>
      <c r="DZE22" s="65"/>
      <c r="DZF22" s="65"/>
      <c r="DZG22" s="65"/>
      <c r="DZH22" s="65"/>
      <c r="DZI22" s="65"/>
      <c r="DZJ22" s="65"/>
      <c r="DZK22" s="65"/>
      <c r="DZL22" s="65"/>
      <c r="DZM22" s="65"/>
      <c r="DZN22" s="65"/>
      <c r="DZO22" s="65"/>
      <c r="DZP22" s="65"/>
      <c r="DZQ22" s="65"/>
      <c r="DZR22" s="65"/>
      <c r="DZS22" s="65"/>
      <c r="DZT22" s="65"/>
      <c r="DZU22" s="65"/>
      <c r="DZV22" s="65"/>
      <c r="DZW22" s="65"/>
      <c r="DZX22" s="65"/>
      <c r="DZY22" s="65"/>
      <c r="DZZ22" s="65"/>
      <c r="EAA22" s="65"/>
      <c r="EAB22" s="65"/>
      <c r="EAC22" s="65"/>
      <c r="EAD22" s="65"/>
      <c r="EAE22" s="65"/>
      <c r="EAF22" s="65"/>
      <c r="EAG22" s="65"/>
      <c r="EAH22" s="65"/>
      <c r="EAI22" s="65"/>
      <c r="EAJ22" s="65"/>
      <c r="EAK22" s="65"/>
      <c r="EAL22" s="65"/>
      <c r="EAM22" s="65"/>
      <c r="EAN22" s="65"/>
      <c r="EAO22" s="65"/>
      <c r="EAP22" s="65"/>
      <c r="EAQ22" s="65"/>
      <c r="EAR22" s="65"/>
      <c r="EAS22" s="65"/>
      <c r="EAT22" s="65"/>
      <c r="EAU22" s="65"/>
      <c r="EAV22" s="65"/>
      <c r="EAW22" s="65"/>
      <c r="EAX22" s="65"/>
      <c r="EAY22" s="65"/>
      <c r="EAZ22" s="65"/>
      <c r="EBA22" s="65"/>
      <c r="EBB22" s="65"/>
      <c r="EBC22" s="65"/>
      <c r="EBD22" s="65"/>
      <c r="EBE22" s="65"/>
      <c r="EBF22" s="65"/>
      <c r="EBG22" s="65"/>
      <c r="EBH22" s="65"/>
      <c r="EBI22" s="65"/>
      <c r="EBJ22" s="65"/>
      <c r="EBK22" s="65"/>
      <c r="EBL22" s="65"/>
      <c r="EBM22" s="65"/>
      <c r="EBN22" s="65"/>
      <c r="EBO22" s="65"/>
      <c r="EBP22" s="65"/>
      <c r="EBQ22" s="65"/>
      <c r="EBR22" s="65"/>
      <c r="EBS22" s="65"/>
      <c r="EBT22" s="65"/>
      <c r="EBU22" s="65"/>
      <c r="EBV22" s="65"/>
      <c r="EBW22" s="65"/>
      <c r="EBX22" s="65"/>
      <c r="EBY22" s="65"/>
      <c r="EBZ22" s="65"/>
      <c r="ECA22" s="65"/>
      <c r="ECB22" s="65"/>
      <c r="ECC22" s="65"/>
      <c r="ECD22" s="65"/>
      <c r="ECE22" s="65"/>
      <c r="ECF22" s="65"/>
      <c r="ECG22" s="65"/>
      <c r="ECH22" s="65"/>
      <c r="ECI22" s="65"/>
      <c r="ECJ22" s="65"/>
      <c r="ECK22" s="65"/>
      <c r="ECL22" s="65"/>
      <c r="ECM22" s="65"/>
      <c r="ECN22" s="65"/>
      <c r="ECO22" s="65"/>
      <c r="ECP22" s="65"/>
      <c r="ECQ22" s="65"/>
      <c r="ECR22" s="65"/>
      <c r="ECS22" s="65"/>
      <c r="ECT22" s="65"/>
      <c r="ECU22" s="65"/>
      <c r="ECV22" s="65"/>
      <c r="ECW22" s="65"/>
      <c r="ECX22" s="65"/>
      <c r="ECY22" s="65"/>
      <c r="ECZ22" s="65"/>
      <c r="EDA22" s="65"/>
      <c r="EDB22" s="65"/>
      <c r="EDC22" s="65"/>
      <c r="EDD22" s="65"/>
      <c r="EDE22" s="65"/>
      <c r="EDF22" s="65"/>
      <c r="EDG22" s="65"/>
      <c r="EDH22" s="65"/>
      <c r="EDI22" s="65"/>
      <c r="EDJ22" s="65"/>
      <c r="EDK22" s="65"/>
      <c r="EDL22" s="65"/>
      <c r="EDM22" s="65"/>
      <c r="EDN22" s="65"/>
      <c r="EDO22" s="65"/>
      <c r="EDP22" s="65"/>
      <c r="EDQ22" s="65"/>
      <c r="EDR22" s="65"/>
      <c r="EDS22" s="65"/>
      <c r="EDT22" s="65"/>
      <c r="EDU22" s="65"/>
      <c r="EDV22" s="65"/>
      <c r="EDW22" s="65"/>
      <c r="EDX22" s="65"/>
      <c r="EDY22" s="65"/>
      <c r="EDZ22" s="65"/>
      <c r="EEA22" s="65"/>
      <c r="EEB22" s="65"/>
      <c r="EEC22" s="65"/>
      <c r="EED22" s="65"/>
      <c r="EEE22" s="65"/>
      <c r="EEF22" s="65"/>
      <c r="EEG22" s="65"/>
      <c r="EEH22" s="65"/>
      <c r="EEI22" s="65"/>
      <c r="EEJ22" s="65"/>
      <c r="EEK22" s="65"/>
      <c r="EEL22" s="65"/>
      <c r="EEM22" s="65"/>
      <c r="EEN22" s="65"/>
      <c r="EEO22" s="65"/>
      <c r="EEP22" s="65"/>
      <c r="EEQ22" s="65"/>
      <c r="EER22" s="65"/>
      <c r="EES22" s="65"/>
      <c r="EET22" s="65"/>
      <c r="EEU22" s="65"/>
      <c r="EEV22" s="65"/>
      <c r="EEW22" s="65"/>
      <c r="EEX22" s="65"/>
      <c r="EEY22" s="65"/>
      <c r="EEZ22" s="65"/>
      <c r="EFA22" s="65"/>
      <c r="EFB22" s="65"/>
      <c r="EFC22" s="65"/>
      <c r="EFD22" s="65"/>
      <c r="EFE22" s="65"/>
      <c r="EFF22" s="65"/>
      <c r="EFG22" s="65"/>
      <c r="EFH22" s="65"/>
      <c r="EFI22" s="65"/>
      <c r="EFJ22" s="65"/>
      <c r="EFK22" s="65"/>
      <c r="EFL22" s="65"/>
      <c r="EFM22" s="65"/>
      <c r="EFN22" s="65"/>
      <c r="EFO22" s="65"/>
      <c r="EFP22" s="65"/>
      <c r="EFQ22" s="65"/>
      <c r="EFR22" s="65"/>
      <c r="EFS22" s="65"/>
      <c r="EFT22" s="65"/>
      <c r="EFU22" s="65"/>
      <c r="EFV22" s="65"/>
      <c r="EFW22" s="65"/>
      <c r="EFX22" s="65"/>
      <c r="EFY22" s="65"/>
      <c r="EFZ22" s="65"/>
      <c r="EGA22" s="65"/>
      <c r="EGB22" s="65"/>
      <c r="EGC22" s="65"/>
      <c r="EGD22" s="65"/>
      <c r="EGE22" s="65"/>
      <c r="EGF22" s="65"/>
      <c r="EGG22" s="65"/>
      <c r="EGH22" s="65"/>
      <c r="EGI22" s="65"/>
      <c r="EGJ22" s="65"/>
      <c r="EGK22" s="65"/>
      <c r="EGL22" s="65"/>
      <c r="EGM22" s="65"/>
      <c r="EGN22" s="65"/>
      <c r="EGO22" s="65"/>
      <c r="EGP22" s="65"/>
      <c r="EGQ22" s="65"/>
      <c r="EGR22" s="65"/>
      <c r="EGS22" s="65"/>
      <c r="EGT22" s="65"/>
      <c r="EGU22" s="65"/>
      <c r="EGV22" s="65"/>
      <c r="EGW22" s="65"/>
      <c r="EGX22" s="65"/>
      <c r="EGY22" s="65"/>
      <c r="EGZ22" s="65"/>
      <c r="EHA22" s="65"/>
      <c r="EHB22" s="65"/>
      <c r="EHC22" s="65"/>
      <c r="EHD22" s="65"/>
      <c r="EHE22" s="65"/>
      <c r="EHF22" s="65"/>
      <c r="EHG22" s="65"/>
      <c r="EHH22" s="65"/>
      <c r="EHI22" s="65"/>
      <c r="EHJ22" s="65"/>
      <c r="EHK22" s="65"/>
      <c r="EHL22" s="65"/>
      <c r="EHM22" s="65"/>
      <c r="EHN22" s="65"/>
      <c r="EHO22" s="65"/>
      <c r="EHP22" s="65"/>
      <c r="EHQ22" s="65"/>
      <c r="EHR22" s="65"/>
      <c r="EHS22" s="65"/>
      <c r="EHT22" s="65"/>
      <c r="EHU22" s="65"/>
      <c r="EHV22" s="65"/>
      <c r="EHW22" s="65"/>
      <c r="EHX22" s="65"/>
      <c r="EHY22" s="65"/>
      <c r="EHZ22" s="65"/>
      <c r="EIA22" s="65"/>
      <c r="EIB22" s="65"/>
      <c r="EIC22" s="65"/>
      <c r="EID22" s="65"/>
      <c r="EIE22" s="65"/>
      <c r="EIF22" s="65"/>
      <c r="EIG22" s="65"/>
      <c r="EIH22" s="65"/>
      <c r="EII22" s="65"/>
      <c r="EIJ22" s="65"/>
      <c r="EIK22" s="65"/>
      <c r="EIL22" s="65"/>
      <c r="EIM22" s="65"/>
      <c r="EIN22" s="65"/>
      <c r="EIO22" s="65"/>
      <c r="EIP22" s="65"/>
      <c r="EIQ22" s="65"/>
      <c r="EIR22" s="65"/>
      <c r="EIS22" s="65"/>
      <c r="EIT22" s="65"/>
      <c r="EIU22" s="65"/>
      <c r="EIV22" s="65"/>
      <c r="EIW22" s="65"/>
      <c r="EIX22" s="65"/>
      <c r="EIY22" s="65"/>
      <c r="EIZ22" s="65"/>
      <c r="EJA22" s="65"/>
      <c r="EJB22" s="65"/>
      <c r="EJC22" s="65"/>
      <c r="EJD22" s="65"/>
      <c r="EJE22" s="65"/>
      <c r="EJF22" s="65"/>
      <c r="EJG22" s="65"/>
      <c r="EJH22" s="65"/>
      <c r="EJI22" s="65"/>
      <c r="EJJ22" s="65"/>
      <c r="EJK22" s="65"/>
      <c r="EJL22" s="65"/>
      <c r="EJM22" s="65"/>
      <c r="EJN22" s="65"/>
      <c r="EJO22" s="65"/>
      <c r="EJP22" s="65"/>
      <c r="EJQ22" s="65"/>
      <c r="EJR22" s="65"/>
      <c r="EJS22" s="65"/>
      <c r="EJT22" s="65"/>
      <c r="EJU22" s="65"/>
      <c r="EJV22" s="65"/>
      <c r="EJW22" s="65"/>
      <c r="EJX22" s="65"/>
      <c r="EJY22" s="65"/>
      <c r="EJZ22" s="65"/>
      <c r="EKA22" s="65"/>
      <c r="EKB22" s="65"/>
      <c r="EKC22" s="65"/>
      <c r="EKD22" s="65"/>
      <c r="EKE22" s="65"/>
      <c r="EKF22" s="65"/>
      <c r="EKG22" s="65"/>
      <c r="EKH22" s="65"/>
      <c r="EKI22" s="65"/>
      <c r="EKJ22" s="65"/>
      <c r="EKK22" s="65"/>
      <c r="EKL22" s="65"/>
      <c r="EKM22" s="65"/>
      <c r="EKN22" s="65"/>
      <c r="EKO22" s="65"/>
      <c r="EKP22" s="65"/>
      <c r="EKQ22" s="65"/>
      <c r="EKR22" s="65"/>
      <c r="EKS22" s="65"/>
      <c r="EKT22" s="65"/>
      <c r="EKU22" s="65"/>
      <c r="EKV22" s="65"/>
      <c r="EKW22" s="65"/>
      <c r="EKX22" s="65"/>
      <c r="EKY22" s="65"/>
      <c r="EKZ22" s="65"/>
      <c r="ELA22" s="65"/>
      <c r="ELB22" s="65"/>
      <c r="ELC22" s="65"/>
      <c r="ELD22" s="65"/>
      <c r="ELE22" s="65"/>
      <c r="ELF22" s="65"/>
      <c r="ELG22" s="65"/>
      <c r="ELH22" s="65"/>
      <c r="ELI22" s="65"/>
      <c r="ELJ22" s="65"/>
      <c r="ELK22" s="65"/>
      <c r="ELL22" s="65"/>
      <c r="ELM22" s="65"/>
      <c r="ELN22" s="65"/>
      <c r="ELO22" s="65"/>
      <c r="ELP22" s="65"/>
      <c r="ELQ22" s="65"/>
      <c r="ELR22" s="65"/>
      <c r="ELS22" s="65"/>
      <c r="ELT22" s="65"/>
      <c r="ELU22" s="65"/>
      <c r="ELV22" s="65"/>
      <c r="ELW22" s="65"/>
      <c r="ELX22" s="65"/>
      <c r="ELY22" s="65"/>
      <c r="ELZ22" s="65"/>
      <c r="EMA22" s="65"/>
      <c r="EMB22" s="65"/>
      <c r="EMC22" s="65"/>
      <c r="EMD22" s="65"/>
      <c r="EME22" s="65"/>
      <c r="EMF22" s="65"/>
      <c r="EMG22" s="65"/>
      <c r="EMH22" s="65"/>
      <c r="EMI22" s="65"/>
      <c r="EMJ22" s="65"/>
      <c r="EMK22" s="65"/>
      <c r="EML22" s="65"/>
      <c r="EMM22" s="65"/>
      <c r="EMN22" s="65"/>
      <c r="EMO22" s="65"/>
      <c r="EMP22" s="65"/>
      <c r="EMQ22" s="65"/>
      <c r="EMR22" s="65"/>
      <c r="EMS22" s="65"/>
      <c r="EMT22" s="65"/>
      <c r="EMU22" s="65"/>
      <c r="EMV22" s="65"/>
      <c r="EMW22" s="65"/>
      <c r="EMX22" s="65"/>
      <c r="EMY22" s="65"/>
      <c r="EMZ22" s="65"/>
      <c r="ENA22" s="65"/>
      <c r="ENB22" s="65"/>
      <c r="ENC22" s="65"/>
      <c r="END22" s="65"/>
      <c r="ENE22" s="65"/>
      <c r="ENF22" s="65"/>
      <c r="ENG22" s="65"/>
      <c r="ENH22" s="65"/>
      <c r="ENI22" s="65"/>
      <c r="ENJ22" s="65"/>
      <c r="ENK22" s="65"/>
      <c r="ENL22" s="65"/>
      <c r="ENM22" s="65"/>
      <c r="ENN22" s="65"/>
      <c r="ENO22" s="65"/>
      <c r="ENP22" s="65"/>
      <c r="ENQ22" s="65"/>
      <c r="ENR22" s="65"/>
      <c r="ENS22" s="65"/>
      <c r="ENT22" s="65"/>
      <c r="ENU22" s="65"/>
      <c r="ENV22" s="65"/>
      <c r="ENW22" s="65"/>
      <c r="ENX22" s="65"/>
      <c r="ENY22" s="65"/>
      <c r="ENZ22" s="65"/>
      <c r="EOA22" s="65"/>
      <c r="EOB22" s="65"/>
      <c r="EOC22" s="65"/>
      <c r="EOD22" s="65"/>
      <c r="EOE22" s="65"/>
      <c r="EOF22" s="65"/>
      <c r="EOG22" s="65"/>
      <c r="EOH22" s="65"/>
      <c r="EOI22" s="65"/>
      <c r="EOJ22" s="65"/>
      <c r="EOK22" s="65"/>
      <c r="EOL22" s="65"/>
      <c r="EOM22" s="65"/>
      <c r="EON22" s="65"/>
      <c r="EOO22" s="65"/>
      <c r="EOP22" s="65"/>
      <c r="EOQ22" s="65"/>
      <c r="EOR22" s="65"/>
      <c r="EOS22" s="65"/>
      <c r="EOT22" s="65"/>
      <c r="EOU22" s="65"/>
      <c r="EOV22" s="65"/>
      <c r="EOW22" s="65"/>
      <c r="EOX22" s="65"/>
      <c r="EOY22" s="65"/>
      <c r="EOZ22" s="65"/>
      <c r="EPA22" s="65"/>
      <c r="EPB22" s="65"/>
      <c r="EPC22" s="65"/>
      <c r="EPD22" s="65"/>
      <c r="EPE22" s="65"/>
      <c r="EPF22" s="65"/>
      <c r="EPG22" s="65"/>
      <c r="EPH22" s="65"/>
      <c r="EPI22" s="65"/>
      <c r="EPJ22" s="65"/>
      <c r="EPK22" s="65"/>
      <c r="EPL22" s="65"/>
      <c r="EPM22" s="65"/>
      <c r="EPN22" s="65"/>
      <c r="EPO22" s="65"/>
      <c r="EPP22" s="65"/>
      <c r="EPQ22" s="65"/>
      <c r="EPR22" s="65"/>
      <c r="EPS22" s="65"/>
      <c r="EPT22" s="65"/>
      <c r="EPU22" s="65"/>
      <c r="EPV22" s="65"/>
      <c r="EPW22" s="65"/>
      <c r="EPX22" s="65"/>
      <c r="EPY22" s="65"/>
      <c r="EPZ22" s="65"/>
      <c r="EQA22" s="65"/>
      <c r="EQB22" s="65"/>
      <c r="EQC22" s="65"/>
      <c r="EQD22" s="65"/>
      <c r="EQE22" s="65"/>
      <c r="EQF22" s="65"/>
      <c r="EQG22" s="65"/>
      <c r="EQH22" s="65"/>
      <c r="EQI22" s="65"/>
      <c r="EQJ22" s="65"/>
      <c r="EQK22" s="65"/>
      <c r="EQL22" s="65"/>
      <c r="EQM22" s="65"/>
      <c r="EQN22" s="65"/>
      <c r="EQO22" s="65"/>
      <c r="EQP22" s="65"/>
      <c r="EQQ22" s="65"/>
      <c r="EQR22" s="65"/>
      <c r="EQS22" s="65"/>
      <c r="EQT22" s="65"/>
      <c r="EQU22" s="65"/>
      <c r="EQV22" s="65"/>
      <c r="EQW22" s="65"/>
      <c r="EQX22" s="65"/>
      <c r="EQY22" s="65"/>
      <c r="EQZ22" s="65"/>
      <c r="ERA22" s="65"/>
      <c r="ERB22" s="65"/>
      <c r="ERC22" s="65"/>
      <c r="ERD22" s="65"/>
      <c r="ERE22" s="65"/>
      <c r="ERF22" s="65"/>
      <c r="ERG22" s="65"/>
      <c r="ERH22" s="65"/>
      <c r="ERI22" s="65"/>
      <c r="ERJ22" s="65"/>
      <c r="ERK22" s="65"/>
      <c r="ERL22" s="65"/>
      <c r="ERM22" s="65"/>
      <c r="ERN22" s="65"/>
      <c r="ERO22" s="65"/>
      <c r="ERP22" s="65"/>
      <c r="ERQ22" s="65"/>
      <c r="ERR22" s="65"/>
      <c r="ERS22" s="65"/>
      <c r="ERT22" s="65"/>
      <c r="ERU22" s="65"/>
      <c r="ERV22" s="65"/>
      <c r="ERW22" s="65"/>
      <c r="ERX22" s="65"/>
      <c r="ERY22" s="65"/>
      <c r="ERZ22" s="65"/>
      <c r="ESA22" s="65"/>
      <c r="ESB22" s="65"/>
      <c r="ESC22" s="65"/>
      <c r="ESD22" s="65"/>
      <c r="ESE22" s="65"/>
      <c r="ESF22" s="65"/>
      <c r="ESG22" s="65"/>
      <c r="ESH22" s="65"/>
      <c r="ESI22" s="65"/>
      <c r="ESJ22" s="65"/>
      <c r="ESK22" s="65"/>
      <c r="ESL22" s="65"/>
      <c r="ESM22" s="65"/>
      <c r="ESN22" s="65"/>
      <c r="ESO22" s="65"/>
      <c r="ESP22" s="65"/>
      <c r="ESQ22" s="65"/>
      <c r="ESR22" s="65"/>
      <c r="ESS22" s="65"/>
      <c r="EST22" s="65"/>
      <c r="ESU22" s="65"/>
      <c r="ESV22" s="65"/>
      <c r="ESW22" s="65"/>
      <c r="ESX22" s="65"/>
      <c r="ESY22" s="65"/>
      <c r="ESZ22" s="65"/>
      <c r="ETA22" s="65"/>
      <c r="ETB22" s="65"/>
      <c r="ETC22" s="65"/>
      <c r="ETD22" s="65"/>
      <c r="ETE22" s="65"/>
      <c r="ETF22" s="65"/>
      <c r="ETG22" s="65"/>
      <c r="ETH22" s="65"/>
      <c r="ETI22" s="65"/>
      <c r="ETJ22" s="65"/>
      <c r="ETK22" s="65"/>
      <c r="ETL22" s="65"/>
      <c r="ETM22" s="65"/>
      <c r="ETN22" s="65"/>
      <c r="ETO22" s="65"/>
      <c r="ETP22" s="65"/>
      <c r="ETQ22" s="65"/>
      <c r="ETR22" s="65"/>
      <c r="ETS22" s="65"/>
      <c r="ETT22" s="65"/>
      <c r="ETU22" s="65"/>
      <c r="ETV22" s="65"/>
      <c r="ETW22" s="65"/>
      <c r="ETX22" s="65"/>
      <c r="ETY22" s="65"/>
      <c r="ETZ22" s="65"/>
      <c r="EUA22" s="65"/>
      <c r="EUB22" s="65"/>
      <c r="EUC22" s="65"/>
      <c r="EUD22" s="65"/>
      <c r="EUE22" s="65"/>
      <c r="EUF22" s="65"/>
      <c r="EUG22" s="65"/>
      <c r="EUH22" s="65"/>
      <c r="EUI22" s="65"/>
      <c r="EUJ22" s="65"/>
      <c r="EUK22" s="65"/>
      <c r="EUL22" s="65"/>
      <c r="EUM22" s="65"/>
      <c r="EUN22" s="65"/>
      <c r="EUO22" s="65"/>
      <c r="EUP22" s="65"/>
      <c r="EUQ22" s="65"/>
      <c r="EUR22" s="65"/>
      <c r="EUS22" s="65"/>
      <c r="EUT22" s="65"/>
      <c r="EUU22" s="65"/>
      <c r="EUV22" s="65"/>
      <c r="EUW22" s="65"/>
      <c r="EUX22" s="65"/>
      <c r="EUY22" s="65"/>
      <c r="EUZ22" s="65"/>
      <c r="EVA22" s="65"/>
      <c r="EVB22" s="65"/>
      <c r="EVC22" s="65"/>
      <c r="EVD22" s="65"/>
      <c r="EVE22" s="65"/>
      <c r="EVF22" s="65"/>
      <c r="EVG22" s="65"/>
      <c r="EVH22" s="65"/>
      <c r="EVI22" s="65"/>
      <c r="EVJ22" s="65"/>
      <c r="EVK22" s="65"/>
      <c r="EVL22" s="65"/>
      <c r="EVM22" s="65"/>
      <c r="EVN22" s="65"/>
      <c r="EVO22" s="65"/>
      <c r="EVP22" s="65"/>
      <c r="EVQ22" s="65"/>
      <c r="EVR22" s="65"/>
      <c r="EVS22" s="65"/>
      <c r="EVT22" s="65"/>
      <c r="EVU22" s="65"/>
      <c r="EVV22" s="65"/>
      <c r="EVW22" s="65"/>
      <c r="EVX22" s="65"/>
      <c r="EVY22" s="65"/>
      <c r="EVZ22" s="65"/>
      <c r="EWA22" s="65"/>
      <c r="EWB22" s="65"/>
      <c r="EWC22" s="65"/>
      <c r="EWD22" s="65"/>
      <c r="EWE22" s="65"/>
      <c r="EWF22" s="65"/>
      <c r="EWG22" s="65"/>
      <c r="EWH22" s="65"/>
      <c r="EWI22" s="65"/>
      <c r="EWJ22" s="65"/>
      <c r="EWK22" s="65"/>
      <c r="EWL22" s="65"/>
      <c r="EWM22" s="65"/>
      <c r="EWN22" s="65"/>
      <c r="EWO22" s="65"/>
      <c r="EWP22" s="65"/>
      <c r="EWQ22" s="65"/>
      <c r="EWR22" s="65"/>
      <c r="EWS22" s="65"/>
      <c r="EWT22" s="65"/>
      <c r="EWU22" s="65"/>
      <c r="EWV22" s="65"/>
      <c r="EWW22" s="65"/>
      <c r="EWX22" s="65"/>
      <c r="EWY22" s="65"/>
      <c r="EWZ22" s="65"/>
      <c r="EXA22" s="65"/>
      <c r="EXB22" s="65"/>
      <c r="EXC22" s="65"/>
      <c r="EXD22" s="65"/>
      <c r="EXE22" s="65"/>
      <c r="EXF22" s="65"/>
      <c r="EXG22" s="65"/>
      <c r="EXH22" s="65"/>
      <c r="EXI22" s="65"/>
      <c r="EXJ22" s="65"/>
      <c r="EXK22" s="65"/>
      <c r="EXL22" s="65"/>
      <c r="EXM22" s="65"/>
      <c r="EXN22" s="65"/>
      <c r="EXO22" s="65"/>
      <c r="EXP22" s="65"/>
      <c r="EXQ22" s="65"/>
      <c r="EXR22" s="65"/>
      <c r="EXS22" s="65"/>
      <c r="EXT22" s="65"/>
      <c r="EXU22" s="65"/>
      <c r="EXV22" s="65"/>
      <c r="EXW22" s="65"/>
      <c r="EXX22" s="65"/>
      <c r="EXY22" s="65"/>
      <c r="EXZ22" s="65"/>
      <c r="EYA22" s="65"/>
      <c r="EYB22" s="65"/>
      <c r="EYC22" s="65"/>
      <c r="EYD22" s="65"/>
      <c r="EYE22" s="65"/>
      <c r="EYF22" s="65"/>
      <c r="EYG22" s="65"/>
      <c r="EYH22" s="65"/>
      <c r="EYI22" s="65"/>
      <c r="EYJ22" s="65"/>
      <c r="EYK22" s="65"/>
      <c r="EYL22" s="65"/>
      <c r="EYM22" s="65"/>
      <c r="EYN22" s="65"/>
      <c r="EYO22" s="65"/>
      <c r="EYP22" s="65"/>
      <c r="EYQ22" s="65"/>
      <c r="EYR22" s="65"/>
      <c r="EYS22" s="65"/>
      <c r="EYT22" s="65"/>
      <c r="EYU22" s="65"/>
      <c r="EYV22" s="65"/>
      <c r="EYW22" s="65"/>
      <c r="EYX22" s="65"/>
      <c r="EYY22" s="65"/>
      <c r="EYZ22" s="65"/>
      <c r="EZA22" s="65"/>
      <c r="EZB22" s="65"/>
      <c r="EZC22" s="65"/>
      <c r="EZD22" s="65"/>
      <c r="EZE22" s="65"/>
      <c r="EZF22" s="65"/>
      <c r="EZG22" s="65"/>
      <c r="EZH22" s="65"/>
      <c r="EZI22" s="65"/>
      <c r="EZJ22" s="65"/>
      <c r="EZK22" s="65"/>
      <c r="EZL22" s="65"/>
      <c r="EZM22" s="65"/>
      <c r="EZN22" s="65"/>
      <c r="EZO22" s="65"/>
      <c r="EZP22" s="65"/>
      <c r="EZQ22" s="65"/>
      <c r="EZR22" s="65"/>
      <c r="EZS22" s="65"/>
      <c r="EZT22" s="65"/>
      <c r="EZU22" s="65"/>
      <c r="EZV22" s="65"/>
      <c r="EZW22" s="65"/>
      <c r="EZX22" s="65"/>
      <c r="EZY22" s="65"/>
      <c r="EZZ22" s="65"/>
      <c r="FAA22" s="65"/>
      <c r="FAB22" s="65"/>
      <c r="FAC22" s="65"/>
      <c r="FAD22" s="65"/>
      <c r="FAE22" s="65"/>
      <c r="FAF22" s="65"/>
      <c r="FAG22" s="65"/>
      <c r="FAH22" s="65"/>
      <c r="FAI22" s="65"/>
      <c r="FAJ22" s="65"/>
      <c r="FAK22" s="65"/>
      <c r="FAL22" s="65"/>
      <c r="FAM22" s="65"/>
      <c r="FAN22" s="65"/>
      <c r="FAO22" s="65"/>
      <c r="FAP22" s="65"/>
      <c r="FAQ22" s="65"/>
      <c r="FAR22" s="65"/>
      <c r="FAS22" s="65"/>
      <c r="FAT22" s="65"/>
      <c r="FAU22" s="65"/>
      <c r="FAV22" s="65"/>
      <c r="FAW22" s="65"/>
      <c r="FAX22" s="65"/>
      <c r="FAY22" s="65"/>
      <c r="FAZ22" s="65"/>
      <c r="FBA22" s="65"/>
      <c r="FBB22" s="65"/>
      <c r="FBC22" s="65"/>
      <c r="FBD22" s="65"/>
      <c r="FBE22" s="65"/>
      <c r="FBF22" s="65"/>
      <c r="FBG22" s="65"/>
      <c r="FBH22" s="65"/>
      <c r="FBI22" s="65"/>
      <c r="FBJ22" s="65"/>
      <c r="FBK22" s="65"/>
      <c r="FBL22" s="65"/>
      <c r="FBM22" s="65"/>
      <c r="FBN22" s="65"/>
      <c r="FBO22" s="65"/>
      <c r="FBP22" s="65"/>
      <c r="FBQ22" s="65"/>
      <c r="FBR22" s="65"/>
      <c r="FBS22" s="65"/>
      <c r="FBT22" s="65"/>
      <c r="FBU22" s="65"/>
      <c r="FBV22" s="65"/>
      <c r="FBW22" s="65"/>
      <c r="FBX22" s="65"/>
      <c r="FBY22" s="65"/>
      <c r="FBZ22" s="65"/>
      <c r="FCA22" s="65"/>
      <c r="FCB22" s="65"/>
      <c r="FCC22" s="65"/>
      <c r="FCD22" s="65"/>
      <c r="FCE22" s="65"/>
      <c r="FCF22" s="65"/>
      <c r="FCG22" s="65"/>
      <c r="FCH22" s="65"/>
      <c r="FCI22" s="65"/>
      <c r="FCJ22" s="65"/>
      <c r="FCK22" s="65"/>
      <c r="FCL22" s="65"/>
      <c r="FCM22" s="65"/>
      <c r="FCN22" s="65"/>
      <c r="FCO22" s="65"/>
      <c r="FCP22" s="65"/>
      <c r="FCQ22" s="65"/>
      <c r="FCR22" s="65"/>
      <c r="FCS22" s="65"/>
      <c r="FCT22" s="65"/>
      <c r="FCU22" s="65"/>
      <c r="FCV22" s="65"/>
      <c r="FCW22" s="65"/>
      <c r="FCX22" s="65"/>
      <c r="FCY22" s="65"/>
      <c r="FCZ22" s="65"/>
      <c r="FDA22" s="65"/>
      <c r="FDB22" s="65"/>
      <c r="FDC22" s="65"/>
      <c r="FDD22" s="65"/>
      <c r="FDE22" s="65"/>
      <c r="FDF22" s="65"/>
      <c r="FDG22" s="65"/>
      <c r="FDH22" s="65"/>
      <c r="FDI22" s="65"/>
      <c r="FDJ22" s="65"/>
      <c r="FDK22" s="65"/>
      <c r="FDL22" s="65"/>
      <c r="FDM22" s="65"/>
      <c r="FDN22" s="65"/>
      <c r="FDO22" s="65"/>
      <c r="FDP22" s="65"/>
      <c r="FDQ22" s="65"/>
      <c r="FDR22" s="65"/>
      <c r="FDS22" s="65"/>
      <c r="FDT22" s="65"/>
      <c r="FDU22" s="65"/>
      <c r="FDV22" s="65"/>
      <c r="FDW22" s="65"/>
      <c r="FDX22" s="65"/>
      <c r="FDY22" s="65"/>
      <c r="FDZ22" s="65"/>
      <c r="FEA22" s="65"/>
      <c r="FEB22" s="65"/>
      <c r="FEC22" s="65"/>
      <c r="FED22" s="65"/>
      <c r="FEE22" s="65"/>
      <c r="FEF22" s="65"/>
      <c r="FEG22" s="65"/>
      <c r="FEH22" s="65"/>
      <c r="FEI22" s="65"/>
      <c r="FEJ22" s="65"/>
      <c r="FEK22" s="65"/>
      <c r="FEL22" s="65"/>
      <c r="FEM22" s="65"/>
      <c r="FEN22" s="65"/>
      <c r="FEO22" s="65"/>
      <c r="FEP22" s="65"/>
      <c r="FEQ22" s="65"/>
      <c r="FER22" s="65"/>
      <c r="FES22" s="65"/>
      <c r="FET22" s="65"/>
      <c r="FEU22" s="65"/>
      <c r="FEV22" s="65"/>
      <c r="FEW22" s="65"/>
      <c r="FEX22" s="65"/>
      <c r="FEY22" s="65"/>
      <c r="FEZ22" s="65"/>
      <c r="FFA22" s="65"/>
      <c r="FFB22" s="65"/>
      <c r="FFC22" s="65"/>
      <c r="FFD22" s="65"/>
      <c r="FFE22" s="65"/>
      <c r="FFF22" s="65"/>
      <c r="FFG22" s="65"/>
      <c r="FFH22" s="65"/>
      <c r="FFI22" s="65"/>
      <c r="FFJ22" s="65"/>
      <c r="FFK22" s="65"/>
      <c r="FFL22" s="65"/>
      <c r="FFM22" s="65"/>
      <c r="FFN22" s="65"/>
      <c r="FFO22" s="65"/>
      <c r="FFP22" s="65"/>
      <c r="FFQ22" s="65"/>
      <c r="FFR22" s="65"/>
      <c r="FFS22" s="65"/>
      <c r="FFT22" s="65"/>
      <c r="FFU22" s="65"/>
      <c r="FFV22" s="65"/>
      <c r="FFW22" s="65"/>
      <c r="FFX22" s="65"/>
      <c r="FFY22" s="65"/>
      <c r="FFZ22" s="65"/>
      <c r="FGA22" s="65"/>
      <c r="FGB22" s="65"/>
      <c r="FGC22" s="65"/>
      <c r="FGD22" s="65"/>
      <c r="FGE22" s="65"/>
      <c r="FGF22" s="65"/>
      <c r="FGG22" s="65"/>
      <c r="FGH22" s="65"/>
      <c r="FGI22" s="65"/>
      <c r="FGJ22" s="65"/>
      <c r="FGK22" s="65"/>
      <c r="FGL22" s="65"/>
      <c r="FGM22" s="65"/>
      <c r="FGN22" s="65"/>
      <c r="FGO22" s="65"/>
      <c r="FGP22" s="65"/>
      <c r="FGQ22" s="65"/>
      <c r="FGR22" s="65"/>
      <c r="FGS22" s="65"/>
      <c r="FGT22" s="65"/>
      <c r="FGU22" s="65"/>
      <c r="FGV22" s="65"/>
      <c r="FGW22" s="65"/>
      <c r="FGX22" s="65"/>
      <c r="FGY22" s="65"/>
      <c r="FGZ22" s="65"/>
      <c r="FHA22" s="65"/>
      <c r="FHB22" s="65"/>
      <c r="FHC22" s="65"/>
      <c r="FHD22" s="65"/>
      <c r="FHE22" s="65"/>
      <c r="FHF22" s="65"/>
      <c r="FHG22" s="65"/>
      <c r="FHH22" s="65"/>
      <c r="FHI22" s="65"/>
      <c r="FHJ22" s="65"/>
      <c r="FHK22" s="65"/>
      <c r="FHL22" s="65"/>
      <c r="FHM22" s="65"/>
      <c r="FHN22" s="65"/>
      <c r="FHO22" s="65"/>
      <c r="FHP22" s="65"/>
      <c r="FHQ22" s="65"/>
      <c r="FHR22" s="65"/>
      <c r="FHS22" s="65"/>
      <c r="FHT22" s="65"/>
      <c r="FHU22" s="65"/>
      <c r="FHV22" s="65"/>
      <c r="FHW22" s="65"/>
      <c r="FHX22" s="65"/>
      <c r="FHY22" s="65"/>
      <c r="FHZ22" s="65"/>
      <c r="FIA22" s="65"/>
      <c r="FIB22" s="65"/>
      <c r="FIC22" s="65"/>
      <c r="FID22" s="65"/>
      <c r="FIE22" s="65"/>
      <c r="FIF22" s="65"/>
      <c r="FIG22" s="65"/>
      <c r="FIH22" s="65"/>
      <c r="FII22" s="65"/>
      <c r="FIJ22" s="65"/>
      <c r="FIK22" s="65"/>
      <c r="FIL22" s="65"/>
      <c r="FIM22" s="65"/>
      <c r="FIN22" s="65"/>
      <c r="FIO22" s="65"/>
      <c r="FIP22" s="65"/>
      <c r="FIQ22" s="65"/>
      <c r="FIR22" s="65"/>
      <c r="FIS22" s="65"/>
      <c r="FIT22" s="65"/>
      <c r="FIU22" s="65"/>
      <c r="FIV22" s="65"/>
      <c r="FIW22" s="65"/>
      <c r="FIX22" s="65"/>
      <c r="FIY22" s="65"/>
      <c r="FIZ22" s="65"/>
      <c r="FJA22" s="65"/>
      <c r="FJB22" s="65"/>
      <c r="FJC22" s="65"/>
      <c r="FJD22" s="65"/>
      <c r="FJE22" s="65"/>
      <c r="FJF22" s="65"/>
      <c r="FJG22" s="65"/>
      <c r="FJH22" s="65"/>
      <c r="FJI22" s="65"/>
      <c r="FJJ22" s="65"/>
      <c r="FJK22" s="65"/>
      <c r="FJL22" s="65"/>
      <c r="FJM22" s="65"/>
      <c r="FJN22" s="65"/>
      <c r="FJO22" s="65"/>
      <c r="FJP22" s="65"/>
      <c r="FJQ22" s="65"/>
      <c r="FJR22" s="65"/>
      <c r="FJS22" s="65"/>
      <c r="FJT22" s="65"/>
      <c r="FJU22" s="65"/>
      <c r="FJV22" s="65"/>
      <c r="FJW22" s="65"/>
      <c r="FJX22" s="65"/>
      <c r="FJY22" s="65"/>
      <c r="FJZ22" s="65"/>
      <c r="FKA22" s="65"/>
      <c r="FKB22" s="65"/>
      <c r="FKC22" s="65"/>
      <c r="FKD22" s="65"/>
      <c r="FKE22" s="65"/>
      <c r="FKF22" s="65"/>
      <c r="FKG22" s="65"/>
      <c r="FKH22" s="65"/>
      <c r="FKI22" s="65"/>
      <c r="FKJ22" s="65"/>
      <c r="FKK22" s="65"/>
      <c r="FKL22" s="65"/>
      <c r="FKM22" s="65"/>
      <c r="FKN22" s="65"/>
      <c r="FKO22" s="65"/>
      <c r="FKP22" s="65"/>
      <c r="FKQ22" s="65"/>
      <c r="FKR22" s="65"/>
      <c r="FKS22" s="65"/>
      <c r="FKT22" s="65"/>
      <c r="FKU22" s="65"/>
      <c r="FKV22" s="65"/>
      <c r="FKW22" s="65"/>
      <c r="FKX22" s="65"/>
      <c r="FKY22" s="65"/>
      <c r="FKZ22" s="65"/>
      <c r="FLA22" s="65"/>
      <c r="FLB22" s="65"/>
      <c r="FLC22" s="65"/>
      <c r="FLD22" s="65"/>
      <c r="FLE22" s="65"/>
      <c r="FLF22" s="65"/>
      <c r="FLG22" s="65"/>
      <c r="FLH22" s="65"/>
      <c r="FLI22" s="65"/>
      <c r="FLJ22" s="65"/>
      <c r="FLK22" s="65"/>
      <c r="FLL22" s="65"/>
      <c r="FLM22" s="65"/>
      <c r="FLN22" s="65"/>
      <c r="FLO22" s="65"/>
      <c r="FLP22" s="65"/>
      <c r="FLQ22" s="65"/>
      <c r="FLR22" s="65"/>
      <c r="FLS22" s="65"/>
      <c r="FLT22" s="65"/>
      <c r="FLU22" s="65"/>
      <c r="FLV22" s="65"/>
      <c r="FLW22" s="65"/>
      <c r="FLX22" s="65"/>
      <c r="FLY22" s="65"/>
      <c r="FLZ22" s="65"/>
      <c r="FMA22" s="65"/>
      <c r="FMB22" s="65"/>
      <c r="FMC22" s="65"/>
      <c r="FMD22" s="65"/>
      <c r="FME22" s="65"/>
      <c r="FMF22" s="65"/>
      <c r="FMG22" s="65"/>
      <c r="FMH22" s="65"/>
      <c r="FMI22" s="65"/>
      <c r="FMJ22" s="65"/>
      <c r="FMK22" s="65"/>
      <c r="FML22" s="65"/>
      <c r="FMM22" s="65"/>
      <c r="FMN22" s="65"/>
      <c r="FMO22" s="65"/>
      <c r="FMP22" s="65"/>
      <c r="FMQ22" s="65"/>
      <c r="FMR22" s="65"/>
      <c r="FMS22" s="65"/>
      <c r="FMT22" s="65"/>
      <c r="FMU22" s="65"/>
      <c r="FMV22" s="65"/>
      <c r="FMW22" s="65"/>
      <c r="FMX22" s="65"/>
      <c r="FMY22" s="65"/>
      <c r="FMZ22" s="65"/>
      <c r="FNA22" s="65"/>
      <c r="FNB22" s="65"/>
      <c r="FNC22" s="65"/>
      <c r="FND22" s="65"/>
      <c r="FNE22" s="65"/>
      <c r="FNF22" s="65"/>
      <c r="FNG22" s="65"/>
      <c r="FNH22" s="65"/>
      <c r="FNI22" s="65"/>
      <c r="FNJ22" s="65"/>
      <c r="FNK22" s="65"/>
      <c r="FNL22" s="65"/>
      <c r="FNM22" s="65"/>
      <c r="FNN22" s="65"/>
      <c r="FNO22" s="65"/>
      <c r="FNP22" s="65"/>
      <c r="FNQ22" s="65"/>
      <c r="FNR22" s="65"/>
      <c r="FNS22" s="65"/>
      <c r="FNT22" s="65"/>
      <c r="FNU22" s="65"/>
      <c r="FNV22" s="65"/>
      <c r="FNW22" s="65"/>
      <c r="FNX22" s="65"/>
      <c r="FNY22" s="65"/>
      <c r="FNZ22" s="65"/>
      <c r="FOA22" s="65"/>
      <c r="FOB22" s="65"/>
      <c r="FOC22" s="65"/>
      <c r="FOD22" s="65"/>
      <c r="FOE22" s="65"/>
      <c r="FOF22" s="65"/>
      <c r="FOG22" s="65"/>
      <c r="FOH22" s="65"/>
      <c r="FOI22" s="65"/>
      <c r="FOJ22" s="65"/>
      <c r="FOK22" s="65"/>
      <c r="FOL22" s="65"/>
      <c r="FOM22" s="65"/>
      <c r="FON22" s="65"/>
      <c r="FOO22" s="65"/>
      <c r="FOP22" s="65"/>
      <c r="FOQ22" s="65"/>
      <c r="FOR22" s="65"/>
      <c r="FOS22" s="65"/>
      <c r="FOT22" s="65"/>
      <c r="FOU22" s="65"/>
      <c r="FOV22" s="65"/>
      <c r="FOW22" s="65"/>
      <c r="FOX22" s="65"/>
      <c r="FOY22" s="65"/>
      <c r="FOZ22" s="65"/>
      <c r="FPA22" s="65"/>
      <c r="FPB22" s="65"/>
      <c r="FPC22" s="65"/>
      <c r="FPD22" s="65"/>
      <c r="FPE22" s="65"/>
      <c r="FPF22" s="65"/>
      <c r="FPG22" s="65"/>
      <c r="FPH22" s="65"/>
      <c r="FPI22" s="65"/>
      <c r="FPJ22" s="65"/>
      <c r="FPK22" s="65"/>
      <c r="FPL22" s="65"/>
      <c r="FPM22" s="65"/>
      <c r="FPN22" s="65"/>
      <c r="FPO22" s="65"/>
      <c r="FPP22" s="65"/>
      <c r="FPQ22" s="65"/>
      <c r="FPR22" s="65"/>
      <c r="FPS22" s="65"/>
      <c r="FPT22" s="65"/>
      <c r="FPU22" s="65"/>
      <c r="FPV22" s="65"/>
      <c r="FPW22" s="65"/>
      <c r="FPX22" s="65"/>
      <c r="FPY22" s="65"/>
      <c r="FPZ22" s="65"/>
      <c r="FQA22" s="65"/>
      <c r="FQB22" s="65"/>
      <c r="FQC22" s="65"/>
      <c r="FQD22" s="65"/>
      <c r="FQE22" s="65"/>
      <c r="FQF22" s="65"/>
      <c r="FQG22" s="65"/>
      <c r="FQH22" s="65"/>
      <c r="FQI22" s="65"/>
      <c r="FQJ22" s="65"/>
      <c r="FQK22" s="65"/>
      <c r="FQL22" s="65"/>
      <c r="FQM22" s="65"/>
      <c r="FQN22" s="65"/>
      <c r="FQO22" s="65"/>
      <c r="FQP22" s="65"/>
      <c r="FQQ22" s="65"/>
      <c r="FQR22" s="65"/>
      <c r="FQS22" s="65"/>
      <c r="FQT22" s="65"/>
      <c r="FQU22" s="65"/>
      <c r="FQV22" s="65"/>
      <c r="FQW22" s="65"/>
      <c r="FQX22" s="65"/>
      <c r="FQY22" s="65"/>
      <c r="FQZ22" s="65"/>
      <c r="FRA22" s="65"/>
      <c r="FRB22" s="65"/>
      <c r="FRC22" s="65"/>
      <c r="FRD22" s="65"/>
      <c r="FRE22" s="65"/>
      <c r="FRF22" s="65"/>
      <c r="FRG22" s="65"/>
      <c r="FRH22" s="65"/>
      <c r="FRI22" s="65"/>
      <c r="FRJ22" s="65"/>
      <c r="FRK22" s="65"/>
      <c r="FRL22" s="65"/>
      <c r="FRM22" s="65"/>
      <c r="FRN22" s="65"/>
      <c r="FRO22" s="65"/>
      <c r="FRP22" s="65"/>
      <c r="FRQ22" s="65"/>
      <c r="FRR22" s="65"/>
      <c r="FRS22" s="65"/>
      <c r="FRT22" s="65"/>
      <c r="FRU22" s="65"/>
      <c r="FRV22" s="65"/>
      <c r="FRW22" s="65"/>
      <c r="FRX22" s="65"/>
      <c r="FRY22" s="65"/>
      <c r="FRZ22" s="65"/>
      <c r="FSA22" s="65"/>
      <c r="FSB22" s="65"/>
      <c r="FSC22" s="65"/>
      <c r="FSD22" s="65"/>
      <c r="FSE22" s="65"/>
      <c r="FSF22" s="65"/>
      <c r="FSG22" s="65"/>
      <c r="FSH22" s="65"/>
      <c r="FSI22" s="65"/>
      <c r="FSJ22" s="65"/>
      <c r="FSK22" s="65"/>
      <c r="FSL22" s="65"/>
      <c r="FSM22" s="65"/>
      <c r="FSN22" s="65"/>
      <c r="FSO22" s="65"/>
      <c r="FSP22" s="65"/>
      <c r="FSQ22" s="65"/>
      <c r="FSR22" s="65"/>
      <c r="FSS22" s="65"/>
      <c r="FST22" s="65"/>
      <c r="FSU22" s="65"/>
      <c r="FSV22" s="65"/>
      <c r="FSW22" s="65"/>
      <c r="FSX22" s="65"/>
      <c r="FSY22" s="65"/>
      <c r="FSZ22" s="65"/>
      <c r="FTA22" s="65"/>
      <c r="FTB22" s="65"/>
      <c r="FTC22" s="65"/>
      <c r="FTD22" s="65"/>
      <c r="FTE22" s="65"/>
      <c r="FTF22" s="65"/>
      <c r="FTG22" s="65"/>
      <c r="FTH22" s="65"/>
      <c r="FTI22" s="65"/>
      <c r="FTJ22" s="65"/>
      <c r="FTK22" s="65"/>
      <c r="FTL22" s="65"/>
      <c r="FTM22" s="65"/>
      <c r="FTN22" s="65"/>
      <c r="FTO22" s="65"/>
      <c r="FTP22" s="65"/>
      <c r="FTQ22" s="65"/>
      <c r="FTR22" s="65"/>
      <c r="FTS22" s="65"/>
      <c r="FTT22" s="65"/>
      <c r="FTU22" s="65"/>
      <c r="FTV22" s="65"/>
      <c r="FTW22" s="65"/>
      <c r="FTX22" s="65"/>
      <c r="FTY22" s="65"/>
      <c r="FTZ22" s="65"/>
      <c r="FUA22" s="65"/>
      <c r="FUB22" s="65"/>
      <c r="FUC22" s="65"/>
      <c r="FUD22" s="65"/>
      <c r="FUE22" s="65"/>
      <c r="FUF22" s="65"/>
      <c r="FUG22" s="65"/>
      <c r="FUH22" s="65"/>
      <c r="FUI22" s="65"/>
      <c r="FUJ22" s="65"/>
      <c r="FUK22" s="65"/>
      <c r="FUL22" s="65"/>
      <c r="FUM22" s="65"/>
      <c r="FUN22" s="65"/>
      <c r="FUO22" s="65"/>
      <c r="FUP22" s="65"/>
      <c r="FUQ22" s="65"/>
      <c r="FUR22" s="65"/>
      <c r="FUS22" s="65"/>
      <c r="FUT22" s="65"/>
      <c r="FUU22" s="65"/>
      <c r="FUV22" s="65"/>
      <c r="FUW22" s="65"/>
      <c r="FUX22" s="65"/>
      <c r="FUY22" s="65"/>
      <c r="FUZ22" s="65"/>
      <c r="FVA22" s="65"/>
      <c r="FVB22" s="65"/>
      <c r="FVC22" s="65"/>
      <c r="FVD22" s="65"/>
      <c r="FVE22" s="65"/>
      <c r="FVF22" s="65"/>
      <c r="FVG22" s="65"/>
      <c r="FVH22" s="65"/>
      <c r="FVI22" s="65"/>
      <c r="FVJ22" s="65"/>
      <c r="FVK22" s="65"/>
      <c r="FVL22" s="65"/>
      <c r="FVM22" s="65"/>
      <c r="FVN22" s="65"/>
      <c r="FVO22" s="65"/>
      <c r="FVP22" s="65"/>
      <c r="FVQ22" s="65"/>
      <c r="FVR22" s="65"/>
      <c r="FVS22" s="65"/>
      <c r="FVT22" s="65"/>
      <c r="FVU22" s="65"/>
      <c r="FVV22" s="65"/>
      <c r="FVW22" s="65"/>
      <c r="FVX22" s="65"/>
      <c r="FVY22" s="65"/>
      <c r="FVZ22" s="65"/>
      <c r="FWA22" s="65"/>
      <c r="FWB22" s="65"/>
      <c r="FWC22" s="65"/>
      <c r="FWD22" s="65"/>
      <c r="FWE22" s="65"/>
      <c r="FWF22" s="65"/>
      <c r="FWG22" s="65"/>
      <c r="FWH22" s="65"/>
      <c r="FWI22" s="65"/>
      <c r="FWJ22" s="65"/>
      <c r="FWK22" s="65"/>
      <c r="FWL22" s="65"/>
      <c r="FWM22" s="65"/>
      <c r="FWN22" s="65"/>
      <c r="FWO22" s="65"/>
      <c r="FWP22" s="65"/>
      <c r="FWQ22" s="65"/>
      <c r="FWR22" s="65"/>
      <c r="FWS22" s="65"/>
      <c r="FWT22" s="65"/>
      <c r="FWU22" s="65"/>
      <c r="FWV22" s="65"/>
      <c r="FWW22" s="65"/>
      <c r="FWX22" s="65"/>
      <c r="FWY22" s="65"/>
      <c r="FWZ22" s="65"/>
      <c r="FXA22" s="65"/>
      <c r="FXB22" s="65"/>
      <c r="FXC22" s="65"/>
      <c r="FXD22" s="65"/>
      <c r="FXE22" s="65"/>
      <c r="FXF22" s="65"/>
      <c r="FXG22" s="65"/>
      <c r="FXH22" s="65"/>
      <c r="FXI22" s="65"/>
      <c r="FXJ22" s="65"/>
      <c r="FXK22" s="65"/>
      <c r="FXL22" s="65"/>
      <c r="FXM22" s="65"/>
      <c r="FXN22" s="65"/>
      <c r="FXO22" s="65"/>
      <c r="FXP22" s="65"/>
      <c r="FXQ22" s="65"/>
      <c r="FXR22" s="65"/>
      <c r="FXS22" s="65"/>
      <c r="FXT22" s="65"/>
      <c r="FXU22" s="65"/>
      <c r="FXV22" s="65"/>
      <c r="FXW22" s="65"/>
      <c r="FXX22" s="65"/>
      <c r="FXY22" s="65"/>
      <c r="FXZ22" s="65"/>
      <c r="FYA22" s="65"/>
      <c r="FYB22" s="65"/>
      <c r="FYC22" s="65"/>
      <c r="FYD22" s="65"/>
      <c r="FYE22" s="65"/>
      <c r="FYF22" s="65"/>
      <c r="FYG22" s="65"/>
      <c r="FYH22" s="65"/>
      <c r="FYI22" s="65"/>
      <c r="FYJ22" s="65"/>
      <c r="FYK22" s="65"/>
      <c r="FYL22" s="65"/>
      <c r="FYM22" s="65"/>
      <c r="FYN22" s="65"/>
      <c r="FYO22" s="65"/>
      <c r="FYP22" s="65"/>
      <c r="FYQ22" s="65"/>
      <c r="FYR22" s="65"/>
      <c r="FYS22" s="65"/>
      <c r="FYT22" s="65"/>
      <c r="FYU22" s="65"/>
      <c r="FYV22" s="65"/>
      <c r="FYW22" s="65"/>
      <c r="FYX22" s="65"/>
      <c r="FYY22" s="65"/>
      <c r="FYZ22" s="65"/>
      <c r="FZA22" s="65"/>
      <c r="FZB22" s="65"/>
      <c r="FZC22" s="65"/>
      <c r="FZD22" s="65"/>
      <c r="FZE22" s="65"/>
      <c r="FZF22" s="65"/>
      <c r="FZG22" s="65"/>
      <c r="FZH22" s="65"/>
      <c r="FZI22" s="65"/>
      <c r="FZJ22" s="65"/>
      <c r="FZK22" s="65"/>
      <c r="FZL22" s="65"/>
      <c r="FZM22" s="65"/>
      <c r="FZN22" s="65"/>
      <c r="FZO22" s="65"/>
      <c r="FZP22" s="65"/>
      <c r="FZQ22" s="65"/>
      <c r="FZR22" s="65"/>
      <c r="FZS22" s="65"/>
      <c r="FZT22" s="65"/>
      <c r="FZU22" s="65"/>
      <c r="FZV22" s="65"/>
      <c r="FZW22" s="65"/>
      <c r="FZX22" s="65"/>
      <c r="FZY22" s="65"/>
      <c r="FZZ22" s="65"/>
      <c r="GAA22" s="65"/>
      <c r="GAB22" s="65"/>
      <c r="GAC22" s="65"/>
      <c r="GAD22" s="65"/>
      <c r="GAE22" s="65"/>
      <c r="GAF22" s="65"/>
      <c r="GAG22" s="65"/>
      <c r="GAH22" s="65"/>
      <c r="GAI22" s="65"/>
      <c r="GAJ22" s="65"/>
      <c r="GAK22" s="65"/>
      <c r="GAL22" s="65"/>
      <c r="GAM22" s="65"/>
      <c r="GAN22" s="65"/>
      <c r="GAO22" s="65"/>
      <c r="GAP22" s="65"/>
      <c r="GAQ22" s="65"/>
      <c r="GAR22" s="65"/>
      <c r="GAS22" s="65"/>
      <c r="GAT22" s="65"/>
      <c r="GAU22" s="65"/>
      <c r="GAV22" s="65"/>
      <c r="GAW22" s="65"/>
      <c r="GAX22" s="65"/>
      <c r="GAY22" s="65"/>
      <c r="GAZ22" s="65"/>
      <c r="GBA22" s="65"/>
      <c r="GBB22" s="65"/>
      <c r="GBC22" s="65"/>
      <c r="GBD22" s="65"/>
      <c r="GBE22" s="65"/>
      <c r="GBF22" s="65"/>
      <c r="GBG22" s="65"/>
      <c r="GBH22" s="65"/>
      <c r="GBI22" s="65"/>
      <c r="GBJ22" s="65"/>
      <c r="GBK22" s="65"/>
      <c r="GBL22" s="65"/>
      <c r="GBM22" s="65"/>
      <c r="GBN22" s="65"/>
      <c r="GBO22" s="65"/>
      <c r="GBP22" s="65"/>
      <c r="GBQ22" s="65"/>
      <c r="GBR22" s="65"/>
      <c r="GBS22" s="65"/>
      <c r="GBT22" s="65"/>
      <c r="GBU22" s="65"/>
      <c r="GBV22" s="65"/>
      <c r="GBW22" s="65"/>
      <c r="GBX22" s="65"/>
      <c r="GBY22" s="65"/>
      <c r="GBZ22" s="65"/>
      <c r="GCA22" s="65"/>
      <c r="GCB22" s="65"/>
      <c r="GCC22" s="65"/>
      <c r="GCD22" s="65"/>
      <c r="GCE22" s="65"/>
      <c r="GCF22" s="65"/>
      <c r="GCG22" s="65"/>
      <c r="GCH22" s="65"/>
      <c r="GCI22" s="65"/>
      <c r="GCJ22" s="65"/>
      <c r="GCK22" s="65"/>
      <c r="GCL22" s="65"/>
      <c r="GCM22" s="65"/>
      <c r="GCN22" s="65"/>
      <c r="GCO22" s="65"/>
      <c r="GCP22" s="65"/>
      <c r="GCQ22" s="65"/>
      <c r="GCR22" s="65"/>
      <c r="GCS22" s="65"/>
      <c r="GCT22" s="65"/>
      <c r="GCU22" s="65"/>
      <c r="GCV22" s="65"/>
      <c r="GCW22" s="65"/>
      <c r="GCX22" s="65"/>
      <c r="GCY22" s="65"/>
      <c r="GCZ22" s="65"/>
      <c r="GDA22" s="65"/>
      <c r="GDB22" s="65"/>
      <c r="GDC22" s="65"/>
      <c r="GDD22" s="65"/>
      <c r="GDE22" s="65"/>
      <c r="GDF22" s="65"/>
      <c r="GDG22" s="65"/>
      <c r="GDH22" s="65"/>
      <c r="GDI22" s="65"/>
      <c r="GDJ22" s="65"/>
      <c r="GDK22" s="65"/>
      <c r="GDL22" s="65"/>
      <c r="GDM22" s="65"/>
      <c r="GDN22" s="65"/>
      <c r="GDO22" s="65"/>
      <c r="GDP22" s="65"/>
      <c r="GDQ22" s="65"/>
      <c r="GDR22" s="65"/>
      <c r="GDS22" s="65"/>
      <c r="GDT22" s="65"/>
      <c r="GDU22" s="65"/>
      <c r="GDV22" s="65"/>
      <c r="GDW22" s="65"/>
      <c r="GDX22" s="65"/>
      <c r="GDY22" s="65"/>
      <c r="GDZ22" s="65"/>
      <c r="GEA22" s="65"/>
      <c r="GEB22" s="65"/>
      <c r="GEC22" s="65"/>
      <c r="GED22" s="65"/>
      <c r="GEE22" s="65"/>
      <c r="GEF22" s="65"/>
      <c r="GEG22" s="65"/>
      <c r="GEH22" s="65"/>
      <c r="GEI22" s="65"/>
      <c r="GEJ22" s="65"/>
      <c r="GEK22" s="65"/>
      <c r="GEL22" s="65"/>
      <c r="GEM22" s="65"/>
      <c r="GEN22" s="65"/>
      <c r="GEO22" s="65"/>
      <c r="GEP22" s="65"/>
      <c r="GEQ22" s="65"/>
      <c r="GER22" s="65"/>
      <c r="GES22" s="65"/>
      <c r="GET22" s="65"/>
      <c r="GEU22" s="65"/>
      <c r="GEV22" s="65"/>
      <c r="GEW22" s="65"/>
      <c r="GEX22" s="65"/>
      <c r="GEY22" s="65"/>
      <c r="GEZ22" s="65"/>
      <c r="GFA22" s="65"/>
      <c r="GFB22" s="65"/>
      <c r="GFC22" s="65"/>
      <c r="GFD22" s="65"/>
      <c r="GFE22" s="65"/>
      <c r="GFF22" s="65"/>
      <c r="GFG22" s="65"/>
      <c r="GFH22" s="65"/>
      <c r="GFI22" s="65"/>
      <c r="GFJ22" s="65"/>
      <c r="GFK22" s="65"/>
      <c r="GFL22" s="65"/>
      <c r="GFM22" s="65"/>
      <c r="GFN22" s="65"/>
      <c r="GFO22" s="65"/>
      <c r="GFP22" s="65"/>
      <c r="GFQ22" s="65"/>
      <c r="GFR22" s="65"/>
      <c r="GFS22" s="65"/>
      <c r="GFT22" s="65"/>
      <c r="GFU22" s="65"/>
      <c r="GFV22" s="65"/>
      <c r="GFW22" s="65"/>
      <c r="GFX22" s="65"/>
      <c r="GFY22" s="65"/>
      <c r="GFZ22" s="65"/>
      <c r="GGA22" s="65"/>
      <c r="GGB22" s="65"/>
      <c r="GGC22" s="65"/>
      <c r="GGD22" s="65"/>
      <c r="GGE22" s="65"/>
      <c r="GGF22" s="65"/>
      <c r="GGG22" s="65"/>
      <c r="GGH22" s="65"/>
      <c r="GGI22" s="65"/>
      <c r="GGJ22" s="65"/>
      <c r="GGK22" s="65"/>
      <c r="GGL22" s="65"/>
      <c r="GGM22" s="65"/>
      <c r="GGN22" s="65"/>
      <c r="GGO22" s="65"/>
      <c r="GGP22" s="65"/>
      <c r="GGQ22" s="65"/>
      <c r="GGR22" s="65"/>
      <c r="GGS22" s="65"/>
      <c r="GGT22" s="65"/>
      <c r="GGU22" s="65"/>
      <c r="GGV22" s="65"/>
      <c r="GGW22" s="65"/>
      <c r="GGX22" s="65"/>
      <c r="GGY22" s="65"/>
      <c r="GGZ22" s="65"/>
      <c r="GHA22" s="65"/>
      <c r="GHB22" s="65"/>
      <c r="GHC22" s="65"/>
      <c r="GHD22" s="65"/>
      <c r="GHE22" s="65"/>
      <c r="GHF22" s="65"/>
      <c r="GHG22" s="65"/>
      <c r="GHH22" s="65"/>
      <c r="GHI22" s="65"/>
      <c r="GHJ22" s="65"/>
      <c r="GHK22" s="65"/>
      <c r="GHL22" s="65"/>
      <c r="GHM22" s="65"/>
      <c r="GHN22" s="65"/>
      <c r="GHO22" s="65"/>
      <c r="GHP22" s="65"/>
      <c r="GHQ22" s="65"/>
      <c r="GHR22" s="65"/>
      <c r="GHS22" s="65"/>
      <c r="GHT22" s="65"/>
      <c r="GHU22" s="65"/>
      <c r="GHV22" s="65"/>
      <c r="GHW22" s="65"/>
      <c r="GHX22" s="65"/>
      <c r="GHY22" s="65"/>
      <c r="GHZ22" s="65"/>
      <c r="GIA22" s="65"/>
      <c r="GIB22" s="65"/>
      <c r="GIC22" s="65"/>
      <c r="GID22" s="65"/>
      <c r="GIE22" s="65"/>
      <c r="GIF22" s="65"/>
      <c r="GIG22" s="65"/>
      <c r="GIH22" s="65"/>
      <c r="GII22" s="65"/>
      <c r="GIJ22" s="65"/>
      <c r="GIK22" s="65"/>
      <c r="GIL22" s="65"/>
      <c r="GIM22" s="65"/>
      <c r="GIN22" s="65"/>
      <c r="GIO22" s="65"/>
      <c r="GIP22" s="65"/>
      <c r="GIQ22" s="65"/>
      <c r="GIR22" s="65"/>
      <c r="GIS22" s="65"/>
      <c r="GIT22" s="65"/>
      <c r="GIU22" s="65"/>
      <c r="GIV22" s="65"/>
      <c r="GIW22" s="65"/>
      <c r="GIX22" s="65"/>
      <c r="GIY22" s="65"/>
      <c r="GIZ22" s="65"/>
      <c r="GJA22" s="65"/>
      <c r="GJB22" s="65"/>
      <c r="GJC22" s="65"/>
      <c r="GJD22" s="65"/>
      <c r="GJE22" s="65"/>
      <c r="GJF22" s="65"/>
      <c r="GJG22" s="65"/>
      <c r="GJH22" s="65"/>
      <c r="GJI22" s="65"/>
      <c r="GJJ22" s="65"/>
      <c r="GJK22" s="65"/>
      <c r="GJL22" s="65"/>
      <c r="GJM22" s="65"/>
      <c r="GJN22" s="65"/>
      <c r="GJO22" s="65"/>
      <c r="GJP22" s="65"/>
      <c r="GJQ22" s="65"/>
      <c r="GJR22" s="65"/>
      <c r="GJS22" s="65"/>
      <c r="GJT22" s="65"/>
      <c r="GJU22" s="65"/>
      <c r="GJV22" s="65"/>
      <c r="GJW22" s="65"/>
      <c r="GJX22" s="65"/>
      <c r="GJY22" s="65"/>
      <c r="GJZ22" s="65"/>
      <c r="GKA22" s="65"/>
      <c r="GKB22" s="65"/>
      <c r="GKC22" s="65"/>
      <c r="GKD22" s="65"/>
      <c r="GKE22" s="65"/>
      <c r="GKF22" s="65"/>
      <c r="GKG22" s="65"/>
      <c r="GKH22" s="65"/>
      <c r="GKI22" s="65"/>
      <c r="GKJ22" s="65"/>
      <c r="GKK22" s="65"/>
      <c r="GKL22" s="65"/>
      <c r="GKM22" s="65"/>
      <c r="GKN22" s="65"/>
      <c r="GKO22" s="65"/>
      <c r="GKP22" s="65"/>
      <c r="GKQ22" s="65"/>
      <c r="GKR22" s="65"/>
      <c r="GKS22" s="65"/>
      <c r="GKT22" s="65"/>
      <c r="GKU22" s="65"/>
      <c r="GKV22" s="65"/>
      <c r="GKW22" s="65"/>
      <c r="GKX22" s="65"/>
      <c r="GKY22" s="65"/>
      <c r="GKZ22" s="65"/>
      <c r="GLA22" s="65"/>
      <c r="GLB22" s="65"/>
      <c r="GLC22" s="65"/>
      <c r="GLD22" s="65"/>
      <c r="GLE22" s="65"/>
      <c r="GLF22" s="65"/>
      <c r="GLG22" s="65"/>
      <c r="GLH22" s="65"/>
      <c r="GLI22" s="65"/>
      <c r="GLJ22" s="65"/>
      <c r="GLK22" s="65"/>
      <c r="GLL22" s="65"/>
      <c r="GLM22" s="65"/>
      <c r="GLN22" s="65"/>
      <c r="GLO22" s="65"/>
      <c r="GLP22" s="65"/>
      <c r="GLQ22" s="65"/>
      <c r="GLR22" s="65"/>
      <c r="GLS22" s="65"/>
      <c r="GLT22" s="65"/>
      <c r="GLU22" s="65"/>
      <c r="GLV22" s="65"/>
      <c r="GLW22" s="65"/>
      <c r="GLX22" s="65"/>
      <c r="GLY22" s="65"/>
      <c r="GLZ22" s="65"/>
      <c r="GMA22" s="65"/>
      <c r="GMB22" s="65"/>
      <c r="GMC22" s="65"/>
      <c r="GMD22" s="65"/>
      <c r="GME22" s="65"/>
      <c r="GMF22" s="65"/>
      <c r="GMG22" s="65"/>
      <c r="GMH22" s="65"/>
      <c r="GMI22" s="65"/>
      <c r="GMJ22" s="65"/>
      <c r="GMK22" s="65"/>
      <c r="GML22" s="65"/>
      <c r="GMM22" s="65"/>
      <c r="GMN22" s="65"/>
      <c r="GMO22" s="65"/>
      <c r="GMP22" s="65"/>
      <c r="GMQ22" s="65"/>
      <c r="GMR22" s="65"/>
      <c r="GMS22" s="65"/>
      <c r="GMT22" s="65"/>
      <c r="GMU22" s="65"/>
      <c r="GMV22" s="65"/>
      <c r="GMW22" s="65"/>
      <c r="GMX22" s="65"/>
      <c r="GMY22" s="65"/>
      <c r="GMZ22" s="65"/>
      <c r="GNA22" s="65"/>
      <c r="GNB22" s="65"/>
      <c r="GNC22" s="65"/>
      <c r="GND22" s="65"/>
      <c r="GNE22" s="65"/>
      <c r="GNF22" s="65"/>
      <c r="GNG22" s="65"/>
      <c r="GNH22" s="65"/>
      <c r="GNI22" s="65"/>
      <c r="GNJ22" s="65"/>
      <c r="GNK22" s="65"/>
      <c r="GNL22" s="65"/>
      <c r="GNM22" s="65"/>
      <c r="GNN22" s="65"/>
      <c r="GNO22" s="65"/>
      <c r="GNP22" s="65"/>
      <c r="GNQ22" s="65"/>
      <c r="GNR22" s="65"/>
      <c r="GNS22" s="65"/>
      <c r="GNT22" s="65"/>
      <c r="GNU22" s="65"/>
      <c r="GNV22" s="65"/>
      <c r="GNW22" s="65"/>
      <c r="GNX22" s="65"/>
      <c r="GNY22" s="65"/>
      <c r="GNZ22" s="65"/>
      <c r="GOA22" s="65"/>
      <c r="GOB22" s="65"/>
      <c r="GOC22" s="65"/>
      <c r="GOD22" s="65"/>
      <c r="GOE22" s="65"/>
      <c r="GOF22" s="65"/>
      <c r="GOG22" s="65"/>
      <c r="GOH22" s="65"/>
      <c r="GOI22" s="65"/>
      <c r="GOJ22" s="65"/>
      <c r="GOK22" s="65"/>
      <c r="GOL22" s="65"/>
      <c r="GOM22" s="65"/>
      <c r="GON22" s="65"/>
      <c r="GOO22" s="65"/>
      <c r="GOP22" s="65"/>
      <c r="GOQ22" s="65"/>
      <c r="GOR22" s="65"/>
      <c r="GOS22" s="65"/>
      <c r="GOT22" s="65"/>
      <c r="GOU22" s="65"/>
      <c r="GOV22" s="65"/>
      <c r="GOW22" s="65"/>
      <c r="GOX22" s="65"/>
      <c r="GOY22" s="65"/>
      <c r="GOZ22" s="65"/>
      <c r="GPA22" s="65"/>
      <c r="GPB22" s="65"/>
      <c r="GPC22" s="65"/>
      <c r="GPD22" s="65"/>
      <c r="GPE22" s="65"/>
      <c r="GPF22" s="65"/>
      <c r="GPG22" s="65"/>
      <c r="GPH22" s="65"/>
      <c r="GPI22" s="65"/>
      <c r="GPJ22" s="65"/>
      <c r="GPK22" s="65"/>
      <c r="GPL22" s="65"/>
      <c r="GPM22" s="65"/>
      <c r="GPN22" s="65"/>
      <c r="GPO22" s="65"/>
      <c r="GPP22" s="65"/>
      <c r="GPQ22" s="65"/>
      <c r="GPR22" s="65"/>
      <c r="GPS22" s="65"/>
      <c r="GPT22" s="65"/>
      <c r="GPU22" s="65"/>
      <c r="GPV22" s="65"/>
      <c r="GPW22" s="65"/>
      <c r="GPX22" s="65"/>
      <c r="GPY22" s="65"/>
      <c r="GPZ22" s="65"/>
      <c r="GQA22" s="65"/>
      <c r="GQB22" s="65"/>
      <c r="GQC22" s="65"/>
      <c r="GQD22" s="65"/>
      <c r="GQE22" s="65"/>
      <c r="GQF22" s="65"/>
      <c r="GQG22" s="65"/>
      <c r="GQH22" s="65"/>
      <c r="GQI22" s="65"/>
      <c r="GQJ22" s="65"/>
      <c r="GQK22" s="65"/>
      <c r="GQL22" s="65"/>
      <c r="GQM22" s="65"/>
      <c r="GQN22" s="65"/>
      <c r="GQO22" s="65"/>
      <c r="GQP22" s="65"/>
      <c r="GQQ22" s="65"/>
      <c r="GQR22" s="65"/>
      <c r="GQS22" s="65"/>
      <c r="GQT22" s="65"/>
      <c r="GQU22" s="65"/>
      <c r="GQV22" s="65"/>
      <c r="GQW22" s="65"/>
      <c r="GQX22" s="65"/>
      <c r="GQY22" s="65"/>
      <c r="GQZ22" s="65"/>
      <c r="GRA22" s="65"/>
      <c r="GRB22" s="65"/>
      <c r="GRC22" s="65"/>
      <c r="GRD22" s="65"/>
      <c r="GRE22" s="65"/>
      <c r="GRF22" s="65"/>
      <c r="GRG22" s="65"/>
      <c r="GRH22" s="65"/>
      <c r="GRI22" s="65"/>
      <c r="GRJ22" s="65"/>
      <c r="GRK22" s="65"/>
      <c r="GRL22" s="65"/>
      <c r="GRM22" s="65"/>
      <c r="GRN22" s="65"/>
      <c r="GRO22" s="65"/>
      <c r="GRP22" s="65"/>
      <c r="GRQ22" s="65"/>
      <c r="GRR22" s="65"/>
      <c r="GRS22" s="65"/>
      <c r="GRT22" s="65"/>
      <c r="GRU22" s="65"/>
      <c r="GRV22" s="65"/>
      <c r="GRW22" s="65"/>
      <c r="GRX22" s="65"/>
      <c r="GRY22" s="65"/>
      <c r="GRZ22" s="65"/>
      <c r="GSA22" s="65"/>
      <c r="GSB22" s="65"/>
      <c r="GSC22" s="65"/>
      <c r="GSD22" s="65"/>
      <c r="GSE22" s="65"/>
      <c r="GSF22" s="65"/>
      <c r="GSG22" s="65"/>
      <c r="GSH22" s="65"/>
      <c r="GSI22" s="65"/>
      <c r="GSJ22" s="65"/>
      <c r="GSK22" s="65"/>
      <c r="GSL22" s="65"/>
      <c r="GSM22" s="65"/>
      <c r="GSN22" s="65"/>
      <c r="GSO22" s="65"/>
      <c r="GSP22" s="65"/>
      <c r="GSQ22" s="65"/>
      <c r="GSR22" s="65"/>
      <c r="GSS22" s="65"/>
      <c r="GST22" s="65"/>
      <c r="GSU22" s="65"/>
      <c r="GSV22" s="65"/>
      <c r="GSW22" s="65"/>
      <c r="GSX22" s="65"/>
      <c r="GSY22" s="65"/>
      <c r="GSZ22" s="65"/>
      <c r="GTA22" s="65"/>
      <c r="GTB22" s="65"/>
      <c r="GTC22" s="65"/>
      <c r="GTD22" s="65"/>
      <c r="GTE22" s="65"/>
      <c r="GTF22" s="65"/>
      <c r="GTG22" s="65"/>
      <c r="GTH22" s="65"/>
      <c r="GTI22" s="65"/>
      <c r="GTJ22" s="65"/>
      <c r="GTK22" s="65"/>
      <c r="GTL22" s="65"/>
      <c r="GTM22" s="65"/>
      <c r="GTN22" s="65"/>
      <c r="GTO22" s="65"/>
      <c r="GTP22" s="65"/>
      <c r="GTQ22" s="65"/>
      <c r="GTR22" s="65"/>
      <c r="GTS22" s="65"/>
      <c r="GTT22" s="65"/>
      <c r="GTU22" s="65"/>
      <c r="GTV22" s="65"/>
      <c r="GTW22" s="65"/>
      <c r="GTX22" s="65"/>
      <c r="GTY22" s="65"/>
      <c r="GTZ22" s="65"/>
      <c r="GUA22" s="65"/>
      <c r="GUB22" s="65"/>
      <c r="GUC22" s="65"/>
      <c r="GUD22" s="65"/>
      <c r="GUE22" s="65"/>
      <c r="GUF22" s="65"/>
      <c r="GUG22" s="65"/>
      <c r="GUH22" s="65"/>
      <c r="GUI22" s="65"/>
      <c r="GUJ22" s="65"/>
      <c r="GUK22" s="65"/>
      <c r="GUL22" s="65"/>
      <c r="GUM22" s="65"/>
      <c r="GUN22" s="65"/>
      <c r="GUO22" s="65"/>
      <c r="GUP22" s="65"/>
      <c r="GUQ22" s="65"/>
      <c r="GUR22" s="65"/>
      <c r="GUS22" s="65"/>
      <c r="GUT22" s="65"/>
      <c r="GUU22" s="65"/>
      <c r="GUV22" s="65"/>
      <c r="GUW22" s="65"/>
      <c r="GUX22" s="65"/>
      <c r="GUY22" s="65"/>
      <c r="GUZ22" s="65"/>
      <c r="GVA22" s="65"/>
      <c r="GVB22" s="65"/>
      <c r="GVC22" s="65"/>
      <c r="GVD22" s="65"/>
      <c r="GVE22" s="65"/>
      <c r="GVF22" s="65"/>
      <c r="GVG22" s="65"/>
      <c r="GVH22" s="65"/>
      <c r="GVI22" s="65"/>
      <c r="GVJ22" s="65"/>
      <c r="GVK22" s="65"/>
      <c r="GVL22" s="65"/>
      <c r="GVM22" s="65"/>
      <c r="GVN22" s="65"/>
      <c r="GVO22" s="65"/>
      <c r="GVP22" s="65"/>
      <c r="GVQ22" s="65"/>
      <c r="GVR22" s="65"/>
      <c r="GVS22" s="65"/>
      <c r="GVT22" s="65"/>
      <c r="GVU22" s="65"/>
      <c r="GVV22" s="65"/>
      <c r="GVW22" s="65"/>
      <c r="GVX22" s="65"/>
      <c r="GVY22" s="65"/>
      <c r="GVZ22" s="65"/>
      <c r="GWA22" s="65"/>
      <c r="GWB22" s="65"/>
      <c r="GWC22" s="65"/>
      <c r="GWD22" s="65"/>
      <c r="GWE22" s="65"/>
      <c r="GWF22" s="65"/>
      <c r="GWG22" s="65"/>
      <c r="GWH22" s="65"/>
      <c r="GWI22" s="65"/>
      <c r="GWJ22" s="65"/>
      <c r="GWK22" s="65"/>
      <c r="GWL22" s="65"/>
      <c r="GWM22" s="65"/>
      <c r="GWN22" s="65"/>
      <c r="GWO22" s="65"/>
      <c r="GWP22" s="65"/>
      <c r="GWQ22" s="65"/>
      <c r="GWR22" s="65"/>
      <c r="GWS22" s="65"/>
      <c r="GWT22" s="65"/>
      <c r="GWU22" s="65"/>
      <c r="GWV22" s="65"/>
      <c r="GWW22" s="65"/>
      <c r="GWX22" s="65"/>
      <c r="GWY22" s="65"/>
      <c r="GWZ22" s="65"/>
      <c r="GXA22" s="65"/>
      <c r="GXB22" s="65"/>
      <c r="GXC22" s="65"/>
      <c r="GXD22" s="65"/>
      <c r="GXE22" s="65"/>
      <c r="GXF22" s="65"/>
      <c r="GXG22" s="65"/>
      <c r="GXH22" s="65"/>
      <c r="GXI22" s="65"/>
      <c r="GXJ22" s="65"/>
      <c r="GXK22" s="65"/>
      <c r="GXL22" s="65"/>
      <c r="GXM22" s="65"/>
      <c r="GXN22" s="65"/>
      <c r="GXO22" s="65"/>
      <c r="GXP22" s="65"/>
      <c r="GXQ22" s="65"/>
      <c r="GXR22" s="65"/>
      <c r="GXS22" s="65"/>
      <c r="GXT22" s="65"/>
      <c r="GXU22" s="65"/>
      <c r="GXV22" s="65"/>
      <c r="GXW22" s="65"/>
      <c r="GXX22" s="65"/>
      <c r="GXY22" s="65"/>
      <c r="GXZ22" s="65"/>
      <c r="GYA22" s="65"/>
      <c r="GYB22" s="65"/>
      <c r="GYC22" s="65"/>
      <c r="GYD22" s="65"/>
      <c r="GYE22" s="65"/>
      <c r="GYF22" s="65"/>
      <c r="GYG22" s="65"/>
      <c r="GYH22" s="65"/>
      <c r="GYI22" s="65"/>
      <c r="GYJ22" s="65"/>
      <c r="GYK22" s="65"/>
      <c r="GYL22" s="65"/>
      <c r="GYM22" s="65"/>
      <c r="GYN22" s="65"/>
      <c r="GYO22" s="65"/>
      <c r="GYP22" s="65"/>
      <c r="GYQ22" s="65"/>
      <c r="GYR22" s="65"/>
      <c r="GYS22" s="65"/>
      <c r="GYT22" s="65"/>
      <c r="GYU22" s="65"/>
      <c r="GYV22" s="65"/>
      <c r="GYW22" s="65"/>
      <c r="GYX22" s="65"/>
      <c r="GYY22" s="65"/>
      <c r="GYZ22" s="65"/>
      <c r="GZA22" s="65"/>
      <c r="GZB22" s="65"/>
      <c r="GZC22" s="65"/>
      <c r="GZD22" s="65"/>
      <c r="GZE22" s="65"/>
      <c r="GZF22" s="65"/>
      <c r="GZG22" s="65"/>
      <c r="GZH22" s="65"/>
      <c r="GZI22" s="65"/>
      <c r="GZJ22" s="65"/>
      <c r="GZK22" s="65"/>
      <c r="GZL22" s="65"/>
      <c r="GZM22" s="65"/>
      <c r="GZN22" s="65"/>
      <c r="GZO22" s="65"/>
      <c r="GZP22" s="65"/>
      <c r="GZQ22" s="65"/>
      <c r="GZR22" s="65"/>
      <c r="GZS22" s="65"/>
      <c r="GZT22" s="65"/>
      <c r="GZU22" s="65"/>
      <c r="GZV22" s="65"/>
      <c r="GZW22" s="65"/>
      <c r="GZX22" s="65"/>
      <c r="GZY22" s="65"/>
      <c r="GZZ22" s="65"/>
      <c r="HAA22" s="65"/>
      <c r="HAB22" s="65"/>
      <c r="HAC22" s="65"/>
      <c r="HAD22" s="65"/>
      <c r="HAE22" s="65"/>
      <c r="HAF22" s="65"/>
      <c r="HAG22" s="65"/>
      <c r="HAH22" s="65"/>
      <c r="HAI22" s="65"/>
      <c r="HAJ22" s="65"/>
      <c r="HAK22" s="65"/>
      <c r="HAL22" s="65"/>
      <c r="HAM22" s="65"/>
      <c r="HAN22" s="65"/>
      <c r="HAO22" s="65"/>
      <c r="HAP22" s="65"/>
      <c r="HAQ22" s="65"/>
      <c r="HAR22" s="65"/>
      <c r="HAS22" s="65"/>
      <c r="HAT22" s="65"/>
      <c r="HAU22" s="65"/>
      <c r="HAV22" s="65"/>
      <c r="HAW22" s="65"/>
      <c r="HAX22" s="65"/>
      <c r="HAY22" s="65"/>
      <c r="HAZ22" s="65"/>
      <c r="HBA22" s="65"/>
      <c r="HBB22" s="65"/>
      <c r="HBC22" s="65"/>
      <c r="HBD22" s="65"/>
      <c r="HBE22" s="65"/>
      <c r="HBF22" s="65"/>
      <c r="HBG22" s="65"/>
      <c r="HBH22" s="65"/>
      <c r="HBI22" s="65"/>
      <c r="HBJ22" s="65"/>
      <c r="HBK22" s="65"/>
      <c r="HBL22" s="65"/>
      <c r="HBM22" s="65"/>
      <c r="HBN22" s="65"/>
      <c r="HBO22" s="65"/>
      <c r="HBP22" s="65"/>
      <c r="HBQ22" s="65"/>
      <c r="HBR22" s="65"/>
      <c r="HBS22" s="65"/>
      <c r="HBT22" s="65"/>
      <c r="HBU22" s="65"/>
      <c r="HBV22" s="65"/>
      <c r="HBW22" s="65"/>
      <c r="HBX22" s="65"/>
      <c r="HBY22" s="65"/>
      <c r="HBZ22" s="65"/>
      <c r="HCA22" s="65"/>
      <c r="HCB22" s="65"/>
      <c r="HCC22" s="65"/>
      <c r="HCD22" s="65"/>
      <c r="HCE22" s="65"/>
      <c r="HCF22" s="65"/>
      <c r="HCG22" s="65"/>
      <c r="HCH22" s="65"/>
      <c r="HCI22" s="65"/>
      <c r="HCJ22" s="65"/>
      <c r="HCK22" s="65"/>
      <c r="HCL22" s="65"/>
      <c r="HCM22" s="65"/>
      <c r="HCN22" s="65"/>
      <c r="HCO22" s="65"/>
      <c r="HCP22" s="65"/>
      <c r="HCQ22" s="65"/>
      <c r="HCR22" s="65"/>
      <c r="HCS22" s="65"/>
      <c r="HCT22" s="65"/>
      <c r="HCU22" s="65"/>
      <c r="HCV22" s="65"/>
      <c r="HCW22" s="65"/>
      <c r="HCX22" s="65"/>
      <c r="HCY22" s="65"/>
      <c r="HCZ22" s="65"/>
      <c r="HDA22" s="65"/>
      <c r="HDB22" s="65"/>
      <c r="HDC22" s="65"/>
      <c r="HDD22" s="65"/>
      <c r="HDE22" s="65"/>
      <c r="HDF22" s="65"/>
      <c r="HDG22" s="65"/>
      <c r="HDH22" s="65"/>
      <c r="HDI22" s="65"/>
      <c r="HDJ22" s="65"/>
      <c r="HDK22" s="65"/>
      <c r="HDL22" s="65"/>
      <c r="HDM22" s="65"/>
      <c r="HDN22" s="65"/>
      <c r="HDO22" s="65"/>
      <c r="HDP22" s="65"/>
      <c r="HDQ22" s="65"/>
      <c r="HDR22" s="65"/>
      <c r="HDS22" s="65"/>
      <c r="HDT22" s="65"/>
      <c r="HDU22" s="65"/>
      <c r="HDV22" s="65"/>
      <c r="HDW22" s="65"/>
      <c r="HDX22" s="65"/>
      <c r="HDY22" s="65"/>
      <c r="HDZ22" s="65"/>
      <c r="HEA22" s="65"/>
      <c r="HEB22" s="65"/>
      <c r="HEC22" s="65"/>
      <c r="HED22" s="65"/>
      <c r="HEE22" s="65"/>
      <c r="HEF22" s="65"/>
      <c r="HEG22" s="65"/>
      <c r="HEH22" s="65"/>
      <c r="HEI22" s="65"/>
      <c r="HEJ22" s="65"/>
      <c r="HEK22" s="65"/>
      <c r="HEL22" s="65"/>
      <c r="HEM22" s="65"/>
      <c r="HEN22" s="65"/>
      <c r="HEO22" s="65"/>
      <c r="HEP22" s="65"/>
      <c r="HEQ22" s="65"/>
      <c r="HER22" s="65"/>
      <c r="HES22" s="65"/>
      <c r="HET22" s="65"/>
      <c r="HEU22" s="65"/>
      <c r="HEV22" s="65"/>
      <c r="HEW22" s="65"/>
      <c r="HEX22" s="65"/>
      <c r="HEY22" s="65"/>
      <c r="HEZ22" s="65"/>
      <c r="HFA22" s="65"/>
      <c r="HFB22" s="65"/>
      <c r="HFC22" s="65"/>
      <c r="HFD22" s="65"/>
      <c r="HFE22" s="65"/>
      <c r="HFF22" s="65"/>
      <c r="HFG22" s="65"/>
      <c r="HFH22" s="65"/>
      <c r="HFI22" s="65"/>
      <c r="HFJ22" s="65"/>
      <c r="HFK22" s="65"/>
      <c r="HFL22" s="65"/>
      <c r="HFM22" s="65"/>
      <c r="HFN22" s="65"/>
      <c r="HFO22" s="65"/>
      <c r="HFP22" s="65"/>
      <c r="HFQ22" s="65"/>
      <c r="HFR22" s="65"/>
      <c r="HFS22" s="65"/>
      <c r="HFT22" s="65"/>
      <c r="HFU22" s="65"/>
      <c r="HFV22" s="65"/>
      <c r="HFW22" s="65"/>
      <c r="HFX22" s="65"/>
      <c r="HFY22" s="65"/>
      <c r="HFZ22" s="65"/>
      <c r="HGA22" s="65"/>
      <c r="HGB22" s="65"/>
      <c r="HGC22" s="65"/>
      <c r="HGD22" s="65"/>
      <c r="HGE22" s="65"/>
      <c r="HGF22" s="65"/>
      <c r="HGG22" s="65"/>
      <c r="HGH22" s="65"/>
      <c r="HGI22" s="65"/>
      <c r="HGJ22" s="65"/>
      <c r="HGK22" s="65"/>
      <c r="HGL22" s="65"/>
      <c r="HGM22" s="65"/>
      <c r="HGN22" s="65"/>
      <c r="HGO22" s="65"/>
      <c r="HGP22" s="65"/>
      <c r="HGQ22" s="65"/>
      <c r="HGR22" s="65"/>
      <c r="HGS22" s="65"/>
      <c r="HGT22" s="65"/>
      <c r="HGU22" s="65"/>
      <c r="HGV22" s="65"/>
      <c r="HGW22" s="65"/>
      <c r="HGX22" s="65"/>
      <c r="HGY22" s="65"/>
      <c r="HGZ22" s="65"/>
      <c r="HHA22" s="65"/>
      <c r="HHB22" s="65"/>
      <c r="HHC22" s="65"/>
      <c r="HHD22" s="65"/>
      <c r="HHE22" s="65"/>
      <c r="HHF22" s="65"/>
      <c r="HHG22" s="65"/>
      <c r="HHH22" s="65"/>
      <c r="HHI22" s="65"/>
      <c r="HHJ22" s="65"/>
      <c r="HHK22" s="65"/>
      <c r="HHL22" s="65"/>
      <c r="HHM22" s="65"/>
      <c r="HHN22" s="65"/>
      <c r="HHO22" s="65"/>
      <c r="HHP22" s="65"/>
      <c r="HHQ22" s="65"/>
      <c r="HHR22" s="65"/>
      <c r="HHS22" s="65"/>
      <c r="HHT22" s="65"/>
      <c r="HHU22" s="65"/>
      <c r="HHV22" s="65"/>
      <c r="HHW22" s="65"/>
      <c r="HHX22" s="65"/>
      <c r="HHY22" s="65"/>
      <c r="HHZ22" s="65"/>
      <c r="HIA22" s="65"/>
      <c r="HIB22" s="65"/>
      <c r="HIC22" s="65"/>
      <c r="HID22" s="65"/>
      <c r="HIE22" s="65"/>
      <c r="HIF22" s="65"/>
      <c r="HIG22" s="65"/>
      <c r="HIH22" s="65"/>
      <c r="HII22" s="65"/>
      <c r="HIJ22" s="65"/>
      <c r="HIK22" s="65"/>
      <c r="HIL22" s="65"/>
      <c r="HIM22" s="65"/>
      <c r="HIN22" s="65"/>
      <c r="HIO22" s="65"/>
      <c r="HIP22" s="65"/>
      <c r="HIQ22" s="65"/>
      <c r="HIR22" s="65"/>
      <c r="HIS22" s="65"/>
      <c r="HIT22" s="65"/>
      <c r="HIU22" s="65"/>
      <c r="HIV22" s="65"/>
      <c r="HIW22" s="65"/>
      <c r="HIX22" s="65"/>
      <c r="HIY22" s="65"/>
      <c r="HIZ22" s="65"/>
      <c r="HJA22" s="65"/>
      <c r="HJB22" s="65"/>
      <c r="HJC22" s="65"/>
      <c r="HJD22" s="65"/>
      <c r="HJE22" s="65"/>
      <c r="HJF22" s="65"/>
      <c r="HJG22" s="65"/>
      <c r="HJH22" s="65"/>
      <c r="HJI22" s="65"/>
      <c r="HJJ22" s="65"/>
      <c r="HJK22" s="65"/>
      <c r="HJL22" s="65"/>
      <c r="HJM22" s="65"/>
      <c r="HJN22" s="65"/>
      <c r="HJO22" s="65"/>
      <c r="HJP22" s="65"/>
      <c r="HJQ22" s="65"/>
      <c r="HJR22" s="65"/>
      <c r="HJS22" s="65"/>
      <c r="HJT22" s="65"/>
      <c r="HJU22" s="65"/>
      <c r="HJV22" s="65"/>
      <c r="HJW22" s="65"/>
      <c r="HJX22" s="65"/>
      <c r="HJY22" s="65"/>
      <c r="HJZ22" s="65"/>
      <c r="HKA22" s="65"/>
      <c r="HKB22" s="65"/>
      <c r="HKC22" s="65"/>
      <c r="HKD22" s="65"/>
      <c r="HKE22" s="65"/>
      <c r="HKF22" s="65"/>
      <c r="HKG22" s="65"/>
      <c r="HKH22" s="65"/>
      <c r="HKI22" s="65"/>
      <c r="HKJ22" s="65"/>
      <c r="HKK22" s="65"/>
      <c r="HKL22" s="65"/>
      <c r="HKM22" s="65"/>
      <c r="HKN22" s="65"/>
      <c r="HKO22" s="65"/>
      <c r="HKP22" s="65"/>
      <c r="HKQ22" s="65"/>
      <c r="HKR22" s="65"/>
      <c r="HKS22" s="65"/>
      <c r="HKT22" s="65"/>
      <c r="HKU22" s="65"/>
      <c r="HKV22" s="65"/>
      <c r="HKW22" s="65"/>
      <c r="HKX22" s="65"/>
      <c r="HKY22" s="65"/>
      <c r="HKZ22" s="65"/>
      <c r="HLA22" s="65"/>
      <c r="HLB22" s="65"/>
      <c r="HLC22" s="65"/>
      <c r="HLD22" s="65"/>
      <c r="HLE22" s="65"/>
      <c r="HLF22" s="65"/>
      <c r="HLG22" s="65"/>
      <c r="HLH22" s="65"/>
      <c r="HLI22" s="65"/>
      <c r="HLJ22" s="65"/>
      <c r="HLK22" s="65"/>
      <c r="HLL22" s="65"/>
      <c r="HLM22" s="65"/>
      <c r="HLN22" s="65"/>
      <c r="HLO22" s="65"/>
      <c r="HLP22" s="65"/>
      <c r="HLQ22" s="65"/>
      <c r="HLR22" s="65"/>
      <c r="HLS22" s="65"/>
      <c r="HLT22" s="65"/>
      <c r="HLU22" s="65"/>
      <c r="HLV22" s="65"/>
      <c r="HLW22" s="65"/>
      <c r="HLX22" s="65"/>
      <c r="HLY22" s="65"/>
      <c r="HLZ22" s="65"/>
      <c r="HMA22" s="65"/>
      <c r="HMB22" s="65"/>
      <c r="HMC22" s="65"/>
      <c r="HMD22" s="65"/>
      <c r="HME22" s="65"/>
      <c r="HMF22" s="65"/>
      <c r="HMG22" s="65"/>
      <c r="HMH22" s="65"/>
      <c r="HMI22" s="65"/>
      <c r="HMJ22" s="65"/>
      <c r="HMK22" s="65"/>
      <c r="HML22" s="65"/>
      <c r="HMM22" s="65"/>
      <c r="HMN22" s="65"/>
      <c r="HMO22" s="65"/>
      <c r="HMP22" s="65"/>
      <c r="HMQ22" s="65"/>
      <c r="HMR22" s="65"/>
      <c r="HMS22" s="65"/>
      <c r="HMT22" s="65"/>
      <c r="HMU22" s="65"/>
      <c r="HMV22" s="65"/>
      <c r="HMW22" s="65"/>
      <c r="HMX22" s="65"/>
      <c r="HMY22" s="65"/>
      <c r="HMZ22" s="65"/>
      <c r="HNA22" s="65"/>
      <c r="HNB22" s="65"/>
      <c r="HNC22" s="65"/>
      <c r="HND22" s="65"/>
      <c r="HNE22" s="65"/>
      <c r="HNF22" s="65"/>
      <c r="HNG22" s="65"/>
      <c r="HNH22" s="65"/>
      <c r="HNI22" s="65"/>
      <c r="HNJ22" s="65"/>
      <c r="HNK22" s="65"/>
      <c r="HNL22" s="65"/>
      <c r="HNM22" s="65"/>
      <c r="HNN22" s="65"/>
      <c r="HNO22" s="65"/>
      <c r="HNP22" s="65"/>
      <c r="HNQ22" s="65"/>
      <c r="HNR22" s="65"/>
      <c r="HNS22" s="65"/>
      <c r="HNT22" s="65"/>
      <c r="HNU22" s="65"/>
      <c r="HNV22" s="65"/>
      <c r="HNW22" s="65"/>
      <c r="HNX22" s="65"/>
      <c r="HNY22" s="65"/>
      <c r="HNZ22" s="65"/>
      <c r="HOA22" s="65"/>
      <c r="HOB22" s="65"/>
      <c r="HOC22" s="65"/>
      <c r="HOD22" s="65"/>
      <c r="HOE22" s="65"/>
      <c r="HOF22" s="65"/>
      <c r="HOG22" s="65"/>
      <c r="HOH22" s="65"/>
      <c r="HOI22" s="65"/>
      <c r="HOJ22" s="65"/>
      <c r="HOK22" s="65"/>
      <c r="HOL22" s="65"/>
      <c r="HOM22" s="65"/>
      <c r="HON22" s="65"/>
      <c r="HOO22" s="65"/>
      <c r="HOP22" s="65"/>
      <c r="HOQ22" s="65"/>
      <c r="HOR22" s="65"/>
      <c r="HOS22" s="65"/>
      <c r="HOT22" s="65"/>
      <c r="HOU22" s="65"/>
      <c r="HOV22" s="65"/>
      <c r="HOW22" s="65"/>
      <c r="HOX22" s="65"/>
      <c r="HOY22" s="65"/>
      <c r="HOZ22" s="65"/>
      <c r="HPA22" s="65"/>
      <c r="HPB22" s="65"/>
      <c r="HPC22" s="65"/>
      <c r="HPD22" s="65"/>
      <c r="HPE22" s="65"/>
      <c r="HPF22" s="65"/>
      <c r="HPG22" s="65"/>
      <c r="HPH22" s="65"/>
      <c r="HPI22" s="65"/>
      <c r="HPJ22" s="65"/>
      <c r="HPK22" s="65"/>
      <c r="HPL22" s="65"/>
      <c r="HPM22" s="65"/>
      <c r="HPN22" s="65"/>
      <c r="HPO22" s="65"/>
      <c r="HPP22" s="65"/>
      <c r="HPQ22" s="65"/>
      <c r="HPR22" s="65"/>
      <c r="HPS22" s="65"/>
      <c r="HPT22" s="65"/>
      <c r="HPU22" s="65"/>
      <c r="HPV22" s="65"/>
      <c r="HPW22" s="65"/>
      <c r="HPX22" s="65"/>
      <c r="HPY22" s="65"/>
      <c r="HPZ22" s="65"/>
      <c r="HQA22" s="65"/>
      <c r="HQB22" s="65"/>
      <c r="HQC22" s="65"/>
      <c r="HQD22" s="65"/>
      <c r="HQE22" s="65"/>
      <c r="HQF22" s="65"/>
      <c r="HQG22" s="65"/>
      <c r="HQH22" s="65"/>
      <c r="HQI22" s="65"/>
      <c r="HQJ22" s="65"/>
      <c r="HQK22" s="65"/>
      <c r="HQL22" s="65"/>
      <c r="HQM22" s="65"/>
      <c r="HQN22" s="65"/>
      <c r="HQO22" s="65"/>
      <c r="HQP22" s="65"/>
      <c r="HQQ22" s="65"/>
      <c r="HQR22" s="65"/>
      <c r="HQS22" s="65"/>
      <c r="HQT22" s="65"/>
      <c r="HQU22" s="65"/>
      <c r="HQV22" s="65"/>
      <c r="HQW22" s="65"/>
      <c r="HQX22" s="65"/>
      <c r="HQY22" s="65"/>
      <c r="HQZ22" s="65"/>
      <c r="HRA22" s="65"/>
      <c r="HRB22" s="65"/>
      <c r="HRC22" s="65"/>
      <c r="HRD22" s="65"/>
      <c r="HRE22" s="65"/>
      <c r="HRF22" s="65"/>
      <c r="HRG22" s="65"/>
      <c r="HRH22" s="65"/>
      <c r="HRI22" s="65"/>
      <c r="HRJ22" s="65"/>
      <c r="HRK22" s="65"/>
      <c r="HRL22" s="65"/>
      <c r="HRM22" s="65"/>
      <c r="HRN22" s="65"/>
      <c r="HRO22" s="65"/>
      <c r="HRP22" s="65"/>
      <c r="HRQ22" s="65"/>
      <c r="HRR22" s="65"/>
      <c r="HRS22" s="65"/>
      <c r="HRT22" s="65"/>
      <c r="HRU22" s="65"/>
      <c r="HRV22" s="65"/>
      <c r="HRW22" s="65"/>
      <c r="HRX22" s="65"/>
      <c r="HRY22" s="65"/>
      <c r="HRZ22" s="65"/>
      <c r="HSA22" s="65"/>
      <c r="HSB22" s="65"/>
      <c r="HSC22" s="65"/>
      <c r="HSD22" s="65"/>
      <c r="HSE22" s="65"/>
      <c r="HSF22" s="65"/>
      <c r="HSG22" s="65"/>
      <c r="HSH22" s="65"/>
      <c r="HSI22" s="65"/>
      <c r="HSJ22" s="65"/>
      <c r="HSK22" s="65"/>
      <c r="HSL22" s="65"/>
      <c r="HSM22" s="65"/>
      <c r="HSN22" s="65"/>
      <c r="HSO22" s="65"/>
      <c r="HSP22" s="65"/>
      <c r="HSQ22" s="65"/>
      <c r="HSR22" s="65"/>
      <c r="HSS22" s="65"/>
      <c r="HST22" s="65"/>
      <c r="HSU22" s="65"/>
      <c r="HSV22" s="65"/>
      <c r="HSW22" s="65"/>
      <c r="HSX22" s="65"/>
      <c r="HSY22" s="65"/>
      <c r="HSZ22" s="65"/>
      <c r="HTA22" s="65"/>
      <c r="HTB22" s="65"/>
      <c r="HTC22" s="65"/>
      <c r="HTD22" s="65"/>
      <c r="HTE22" s="65"/>
      <c r="HTF22" s="65"/>
      <c r="HTG22" s="65"/>
      <c r="HTH22" s="65"/>
      <c r="HTI22" s="65"/>
      <c r="HTJ22" s="65"/>
      <c r="HTK22" s="65"/>
      <c r="HTL22" s="65"/>
      <c r="HTM22" s="65"/>
      <c r="HTN22" s="65"/>
      <c r="HTO22" s="65"/>
      <c r="HTP22" s="65"/>
      <c r="HTQ22" s="65"/>
      <c r="HTR22" s="65"/>
      <c r="HTS22" s="65"/>
      <c r="HTT22" s="65"/>
      <c r="HTU22" s="65"/>
      <c r="HTV22" s="65"/>
      <c r="HTW22" s="65"/>
      <c r="HTX22" s="65"/>
      <c r="HTY22" s="65"/>
      <c r="HTZ22" s="65"/>
      <c r="HUA22" s="65"/>
      <c r="HUB22" s="65"/>
      <c r="HUC22" s="65"/>
      <c r="HUD22" s="65"/>
      <c r="HUE22" s="65"/>
      <c r="HUF22" s="65"/>
      <c r="HUG22" s="65"/>
      <c r="HUH22" s="65"/>
      <c r="HUI22" s="65"/>
      <c r="HUJ22" s="65"/>
      <c r="HUK22" s="65"/>
      <c r="HUL22" s="65"/>
      <c r="HUM22" s="65"/>
      <c r="HUN22" s="65"/>
      <c r="HUO22" s="65"/>
      <c r="HUP22" s="65"/>
      <c r="HUQ22" s="65"/>
      <c r="HUR22" s="65"/>
      <c r="HUS22" s="65"/>
      <c r="HUT22" s="65"/>
      <c r="HUU22" s="65"/>
      <c r="HUV22" s="65"/>
      <c r="HUW22" s="65"/>
      <c r="HUX22" s="65"/>
      <c r="HUY22" s="65"/>
      <c r="HUZ22" s="65"/>
      <c r="HVA22" s="65"/>
      <c r="HVB22" s="65"/>
      <c r="HVC22" s="65"/>
      <c r="HVD22" s="65"/>
      <c r="HVE22" s="65"/>
      <c r="HVF22" s="65"/>
      <c r="HVG22" s="65"/>
      <c r="HVH22" s="65"/>
      <c r="HVI22" s="65"/>
      <c r="HVJ22" s="65"/>
      <c r="HVK22" s="65"/>
      <c r="HVL22" s="65"/>
      <c r="HVM22" s="65"/>
      <c r="HVN22" s="65"/>
      <c r="HVO22" s="65"/>
      <c r="HVP22" s="65"/>
      <c r="HVQ22" s="65"/>
      <c r="HVR22" s="65"/>
      <c r="HVS22" s="65"/>
      <c r="HVT22" s="65"/>
      <c r="HVU22" s="65"/>
      <c r="HVV22" s="65"/>
      <c r="HVW22" s="65"/>
      <c r="HVX22" s="65"/>
      <c r="HVY22" s="65"/>
      <c r="HVZ22" s="65"/>
      <c r="HWA22" s="65"/>
      <c r="HWB22" s="65"/>
      <c r="HWC22" s="65"/>
      <c r="HWD22" s="65"/>
      <c r="HWE22" s="65"/>
      <c r="HWF22" s="65"/>
      <c r="HWG22" s="65"/>
      <c r="HWH22" s="65"/>
      <c r="HWI22" s="65"/>
      <c r="HWJ22" s="65"/>
      <c r="HWK22" s="65"/>
      <c r="HWL22" s="65"/>
      <c r="HWM22" s="65"/>
      <c r="HWN22" s="65"/>
      <c r="HWO22" s="65"/>
      <c r="HWP22" s="65"/>
      <c r="HWQ22" s="65"/>
      <c r="HWR22" s="65"/>
      <c r="HWS22" s="65"/>
      <c r="HWT22" s="65"/>
      <c r="HWU22" s="65"/>
      <c r="HWV22" s="65"/>
      <c r="HWW22" s="65"/>
      <c r="HWX22" s="65"/>
      <c r="HWY22" s="65"/>
      <c r="HWZ22" s="65"/>
      <c r="HXA22" s="65"/>
      <c r="HXB22" s="65"/>
      <c r="HXC22" s="65"/>
      <c r="HXD22" s="65"/>
      <c r="HXE22" s="65"/>
      <c r="HXF22" s="65"/>
      <c r="HXG22" s="65"/>
      <c r="HXH22" s="65"/>
      <c r="HXI22" s="65"/>
      <c r="HXJ22" s="65"/>
      <c r="HXK22" s="65"/>
      <c r="HXL22" s="65"/>
      <c r="HXM22" s="65"/>
      <c r="HXN22" s="65"/>
      <c r="HXO22" s="65"/>
      <c r="HXP22" s="65"/>
      <c r="HXQ22" s="65"/>
      <c r="HXR22" s="65"/>
      <c r="HXS22" s="65"/>
      <c r="HXT22" s="65"/>
      <c r="HXU22" s="65"/>
      <c r="HXV22" s="65"/>
      <c r="HXW22" s="65"/>
      <c r="HXX22" s="65"/>
      <c r="HXY22" s="65"/>
      <c r="HXZ22" s="65"/>
      <c r="HYA22" s="65"/>
      <c r="HYB22" s="65"/>
      <c r="HYC22" s="65"/>
      <c r="HYD22" s="65"/>
      <c r="HYE22" s="65"/>
      <c r="HYF22" s="65"/>
      <c r="HYG22" s="65"/>
      <c r="HYH22" s="65"/>
      <c r="HYI22" s="65"/>
      <c r="HYJ22" s="65"/>
      <c r="HYK22" s="65"/>
      <c r="HYL22" s="65"/>
      <c r="HYM22" s="65"/>
      <c r="HYN22" s="65"/>
      <c r="HYO22" s="65"/>
      <c r="HYP22" s="65"/>
      <c r="HYQ22" s="65"/>
      <c r="HYR22" s="65"/>
      <c r="HYS22" s="65"/>
      <c r="HYT22" s="65"/>
      <c r="HYU22" s="65"/>
      <c r="HYV22" s="65"/>
      <c r="HYW22" s="65"/>
      <c r="HYX22" s="65"/>
      <c r="HYY22" s="65"/>
      <c r="HYZ22" s="65"/>
      <c r="HZA22" s="65"/>
      <c r="HZB22" s="65"/>
      <c r="HZC22" s="65"/>
      <c r="HZD22" s="65"/>
      <c r="HZE22" s="65"/>
      <c r="HZF22" s="65"/>
      <c r="HZG22" s="65"/>
      <c r="HZH22" s="65"/>
      <c r="HZI22" s="65"/>
      <c r="HZJ22" s="65"/>
      <c r="HZK22" s="65"/>
      <c r="HZL22" s="65"/>
      <c r="HZM22" s="65"/>
      <c r="HZN22" s="65"/>
      <c r="HZO22" s="65"/>
      <c r="HZP22" s="65"/>
      <c r="HZQ22" s="65"/>
      <c r="HZR22" s="65"/>
      <c r="HZS22" s="65"/>
      <c r="HZT22" s="65"/>
      <c r="HZU22" s="65"/>
      <c r="HZV22" s="65"/>
      <c r="HZW22" s="65"/>
      <c r="HZX22" s="65"/>
      <c r="HZY22" s="65"/>
      <c r="HZZ22" s="65"/>
      <c r="IAA22" s="65"/>
      <c r="IAB22" s="65"/>
      <c r="IAC22" s="65"/>
      <c r="IAD22" s="65"/>
      <c r="IAE22" s="65"/>
      <c r="IAF22" s="65"/>
      <c r="IAG22" s="65"/>
      <c r="IAH22" s="65"/>
      <c r="IAI22" s="65"/>
      <c r="IAJ22" s="65"/>
      <c r="IAK22" s="65"/>
      <c r="IAL22" s="65"/>
      <c r="IAM22" s="65"/>
      <c r="IAN22" s="65"/>
      <c r="IAO22" s="65"/>
      <c r="IAP22" s="65"/>
      <c r="IAQ22" s="65"/>
      <c r="IAR22" s="65"/>
      <c r="IAS22" s="65"/>
      <c r="IAT22" s="65"/>
      <c r="IAU22" s="65"/>
      <c r="IAV22" s="65"/>
      <c r="IAW22" s="65"/>
      <c r="IAX22" s="65"/>
      <c r="IAY22" s="65"/>
      <c r="IAZ22" s="65"/>
      <c r="IBA22" s="65"/>
      <c r="IBB22" s="65"/>
      <c r="IBC22" s="65"/>
      <c r="IBD22" s="65"/>
      <c r="IBE22" s="65"/>
      <c r="IBF22" s="65"/>
      <c r="IBG22" s="65"/>
      <c r="IBH22" s="65"/>
      <c r="IBI22" s="65"/>
      <c r="IBJ22" s="65"/>
      <c r="IBK22" s="65"/>
      <c r="IBL22" s="65"/>
      <c r="IBM22" s="65"/>
      <c r="IBN22" s="65"/>
      <c r="IBO22" s="65"/>
      <c r="IBP22" s="65"/>
      <c r="IBQ22" s="65"/>
      <c r="IBR22" s="65"/>
      <c r="IBS22" s="65"/>
      <c r="IBT22" s="65"/>
      <c r="IBU22" s="65"/>
      <c r="IBV22" s="65"/>
      <c r="IBW22" s="65"/>
      <c r="IBX22" s="65"/>
      <c r="IBY22" s="65"/>
      <c r="IBZ22" s="65"/>
      <c r="ICA22" s="65"/>
      <c r="ICB22" s="65"/>
      <c r="ICC22" s="65"/>
      <c r="ICD22" s="65"/>
      <c r="ICE22" s="65"/>
      <c r="ICF22" s="65"/>
      <c r="ICG22" s="65"/>
      <c r="ICH22" s="65"/>
      <c r="ICI22" s="65"/>
      <c r="ICJ22" s="65"/>
      <c r="ICK22" s="65"/>
      <c r="ICL22" s="65"/>
      <c r="ICM22" s="65"/>
      <c r="ICN22" s="65"/>
      <c r="ICO22" s="65"/>
      <c r="ICP22" s="65"/>
      <c r="ICQ22" s="65"/>
      <c r="ICR22" s="65"/>
      <c r="ICS22" s="65"/>
      <c r="ICT22" s="65"/>
      <c r="ICU22" s="65"/>
      <c r="ICV22" s="65"/>
      <c r="ICW22" s="65"/>
      <c r="ICX22" s="65"/>
      <c r="ICY22" s="65"/>
      <c r="ICZ22" s="65"/>
      <c r="IDA22" s="65"/>
      <c r="IDB22" s="65"/>
      <c r="IDC22" s="65"/>
      <c r="IDD22" s="65"/>
      <c r="IDE22" s="65"/>
      <c r="IDF22" s="65"/>
      <c r="IDG22" s="65"/>
      <c r="IDH22" s="65"/>
      <c r="IDI22" s="65"/>
      <c r="IDJ22" s="65"/>
      <c r="IDK22" s="65"/>
      <c r="IDL22" s="65"/>
      <c r="IDM22" s="65"/>
      <c r="IDN22" s="65"/>
      <c r="IDO22" s="65"/>
      <c r="IDP22" s="65"/>
      <c r="IDQ22" s="65"/>
      <c r="IDR22" s="65"/>
      <c r="IDS22" s="65"/>
      <c r="IDT22" s="65"/>
      <c r="IDU22" s="65"/>
      <c r="IDV22" s="65"/>
      <c r="IDW22" s="65"/>
      <c r="IDX22" s="65"/>
      <c r="IDY22" s="65"/>
      <c r="IDZ22" s="65"/>
      <c r="IEA22" s="65"/>
      <c r="IEB22" s="65"/>
      <c r="IEC22" s="65"/>
      <c r="IED22" s="65"/>
      <c r="IEE22" s="65"/>
      <c r="IEF22" s="65"/>
      <c r="IEG22" s="65"/>
      <c r="IEH22" s="65"/>
      <c r="IEI22" s="65"/>
      <c r="IEJ22" s="65"/>
      <c r="IEK22" s="65"/>
      <c r="IEL22" s="65"/>
      <c r="IEM22" s="65"/>
      <c r="IEN22" s="65"/>
      <c r="IEO22" s="65"/>
      <c r="IEP22" s="65"/>
      <c r="IEQ22" s="65"/>
      <c r="IER22" s="65"/>
      <c r="IES22" s="65"/>
      <c r="IET22" s="65"/>
      <c r="IEU22" s="65"/>
      <c r="IEV22" s="65"/>
      <c r="IEW22" s="65"/>
      <c r="IEX22" s="65"/>
      <c r="IEY22" s="65"/>
      <c r="IEZ22" s="65"/>
      <c r="IFA22" s="65"/>
      <c r="IFB22" s="65"/>
      <c r="IFC22" s="65"/>
      <c r="IFD22" s="65"/>
      <c r="IFE22" s="65"/>
      <c r="IFF22" s="65"/>
      <c r="IFG22" s="65"/>
      <c r="IFH22" s="65"/>
      <c r="IFI22" s="65"/>
      <c r="IFJ22" s="65"/>
      <c r="IFK22" s="65"/>
      <c r="IFL22" s="65"/>
      <c r="IFM22" s="65"/>
      <c r="IFN22" s="65"/>
      <c r="IFO22" s="65"/>
      <c r="IFP22" s="65"/>
      <c r="IFQ22" s="65"/>
      <c r="IFR22" s="65"/>
      <c r="IFS22" s="65"/>
      <c r="IFT22" s="65"/>
      <c r="IFU22" s="65"/>
      <c r="IFV22" s="65"/>
      <c r="IFW22" s="65"/>
      <c r="IFX22" s="65"/>
      <c r="IFY22" s="65"/>
      <c r="IFZ22" s="65"/>
      <c r="IGA22" s="65"/>
      <c r="IGB22" s="65"/>
      <c r="IGC22" s="65"/>
      <c r="IGD22" s="65"/>
      <c r="IGE22" s="65"/>
      <c r="IGF22" s="65"/>
      <c r="IGG22" s="65"/>
      <c r="IGH22" s="65"/>
      <c r="IGI22" s="65"/>
      <c r="IGJ22" s="65"/>
      <c r="IGK22" s="65"/>
      <c r="IGL22" s="65"/>
      <c r="IGM22" s="65"/>
      <c r="IGN22" s="65"/>
      <c r="IGO22" s="65"/>
      <c r="IGP22" s="65"/>
      <c r="IGQ22" s="65"/>
      <c r="IGR22" s="65"/>
      <c r="IGS22" s="65"/>
      <c r="IGT22" s="65"/>
      <c r="IGU22" s="65"/>
      <c r="IGV22" s="65"/>
      <c r="IGW22" s="65"/>
      <c r="IGX22" s="65"/>
      <c r="IGY22" s="65"/>
      <c r="IGZ22" s="65"/>
      <c r="IHA22" s="65"/>
      <c r="IHB22" s="65"/>
      <c r="IHC22" s="65"/>
      <c r="IHD22" s="65"/>
      <c r="IHE22" s="65"/>
      <c r="IHF22" s="65"/>
      <c r="IHG22" s="65"/>
      <c r="IHH22" s="65"/>
      <c r="IHI22" s="65"/>
      <c r="IHJ22" s="65"/>
      <c r="IHK22" s="65"/>
      <c r="IHL22" s="65"/>
      <c r="IHM22" s="65"/>
      <c r="IHN22" s="65"/>
      <c r="IHO22" s="65"/>
      <c r="IHP22" s="65"/>
      <c r="IHQ22" s="65"/>
      <c r="IHR22" s="65"/>
      <c r="IHS22" s="65"/>
      <c r="IHT22" s="65"/>
      <c r="IHU22" s="65"/>
      <c r="IHV22" s="65"/>
      <c r="IHW22" s="65"/>
      <c r="IHX22" s="65"/>
      <c r="IHY22" s="65"/>
      <c r="IHZ22" s="65"/>
      <c r="IIA22" s="65"/>
      <c r="IIB22" s="65"/>
      <c r="IIC22" s="65"/>
      <c r="IID22" s="65"/>
      <c r="IIE22" s="65"/>
      <c r="IIF22" s="65"/>
      <c r="IIG22" s="65"/>
      <c r="IIH22" s="65"/>
      <c r="III22" s="65"/>
      <c r="IIJ22" s="65"/>
      <c r="IIK22" s="65"/>
      <c r="IIL22" s="65"/>
      <c r="IIM22" s="65"/>
      <c r="IIN22" s="65"/>
      <c r="IIO22" s="65"/>
      <c r="IIP22" s="65"/>
      <c r="IIQ22" s="65"/>
      <c r="IIR22" s="65"/>
      <c r="IIS22" s="65"/>
      <c r="IIT22" s="65"/>
      <c r="IIU22" s="65"/>
      <c r="IIV22" s="65"/>
      <c r="IIW22" s="65"/>
      <c r="IIX22" s="65"/>
      <c r="IIY22" s="65"/>
      <c r="IIZ22" s="65"/>
      <c r="IJA22" s="65"/>
      <c r="IJB22" s="65"/>
      <c r="IJC22" s="65"/>
      <c r="IJD22" s="65"/>
      <c r="IJE22" s="65"/>
      <c r="IJF22" s="65"/>
      <c r="IJG22" s="65"/>
      <c r="IJH22" s="65"/>
      <c r="IJI22" s="65"/>
      <c r="IJJ22" s="65"/>
      <c r="IJK22" s="65"/>
      <c r="IJL22" s="65"/>
      <c r="IJM22" s="65"/>
      <c r="IJN22" s="65"/>
      <c r="IJO22" s="65"/>
      <c r="IJP22" s="65"/>
      <c r="IJQ22" s="65"/>
      <c r="IJR22" s="65"/>
      <c r="IJS22" s="65"/>
      <c r="IJT22" s="65"/>
      <c r="IJU22" s="65"/>
      <c r="IJV22" s="65"/>
      <c r="IJW22" s="65"/>
      <c r="IJX22" s="65"/>
      <c r="IJY22" s="65"/>
      <c r="IJZ22" s="65"/>
      <c r="IKA22" s="65"/>
      <c r="IKB22" s="65"/>
      <c r="IKC22" s="65"/>
      <c r="IKD22" s="65"/>
      <c r="IKE22" s="65"/>
      <c r="IKF22" s="65"/>
      <c r="IKG22" s="65"/>
      <c r="IKH22" s="65"/>
      <c r="IKI22" s="65"/>
      <c r="IKJ22" s="65"/>
      <c r="IKK22" s="65"/>
      <c r="IKL22" s="65"/>
      <c r="IKM22" s="65"/>
      <c r="IKN22" s="65"/>
      <c r="IKO22" s="65"/>
      <c r="IKP22" s="65"/>
      <c r="IKQ22" s="65"/>
      <c r="IKR22" s="65"/>
      <c r="IKS22" s="65"/>
      <c r="IKT22" s="65"/>
      <c r="IKU22" s="65"/>
      <c r="IKV22" s="65"/>
      <c r="IKW22" s="65"/>
      <c r="IKX22" s="65"/>
      <c r="IKY22" s="65"/>
      <c r="IKZ22" s="65"/>
      <c r="ILA22" s="65"/>
      <c r="ILB22" s="65"/>
      <c r="ILC22" s="65"/>
      <c r="ILD22" s="65"/>
      <c r="ILE22" s="65"/>
      <c r="ILF22" s="65"/>
      <c r="ILG22" s="65"/>
      <c r="ILH22" s="65"/>
      <c r="ILI22" s="65"/>
      <c r="ILJ22" s="65"/>
      <c r="ILK22" s="65"/>
      <c r="ILL22" s="65"/>
      <c r="ILM22" s="65"/>
      <c r="ILN22" s="65"/>
      <c r="ILO22" s="65"/>
      <c r="ILP22" s="65"/>
      <c r="ILQ22" s="65"/>
      <c r="ILR22" s="65"/>
      <c r="ILS22" s="65"/>
      <c r="ILT22" s="65"/>
      <c r="ILU22" s="65"/>
      <c r="ILV22" s="65"/>
      <c r="ILW22" s="65"/>
      <c r="ILX22" s="65"/>
      <c r="ILY22" s="65"/>
      <c r="ILZ22" s="65"/>
      <c r="IMA22" s="65"/>
      <c r="IMB22" s="65"/>
      <c r="IMC22" s="65"/>
      <c r="IMD22" s="65"/>
      <c r="IME22" s="65"/>
      <c r="IMF22" s="65"/>
      <c r="IMG22" s="65"/>
      <c r="IMH22" s="65"/>
      <c r="IMI22" s="65"/>
      <c r="IMJ22" s="65"/>
      <c r="IMK22" s="65"/>
      <c r="IML22" s="65"/>
      <c r="IMM22" s="65"/>
      <c r="IMN22" s="65"/>
      <c r="IMO22" s="65"/>
      <c r="IMP22" s="65"/>
      <c r="IMQ22" s="65"/>
      <c r="IMR22" s="65"/>
      <c r="IMS22" s="65"/>
      <c r="IMT22" s="65"/>
      <c r="IMU22" s="65"/>
      <c r="IMV22" s="65"/>
      <c r="IMW22" s="65"/>
      <c r="IMX22" s="65"/>
      <c r="IMY22" s="65"/>
      <c r="IMZ22" s="65"/>
      <c r="INA22" s="65"/>
      <c r="INB22" s="65"/>
      <c r="INC22" s="65"/>
      <c r="IND22" s="65"/>
      <c r="INE22" s="65"/>
      <c r="INF22" s="65"/>
      <c r="ING22" s="65"/>
      <c r="INH22" s="65"/>
      <c r="INI22" s="65"/>
      <c r="INJ22" s="65"/>
      <c r="INK22" s="65"/>
      <c r="INL22" s="65"/>
      <c r="INM22" s="65"/>
      <c r="INN22" s="65"/>
      <c r="INO22" s="65"/>
      <c r="INP22" s="65"/>
      <c r="INQ22" s="65"/>
      <c r="INR22" s="65"/>
      <c r="INS22" s="65"/>
      <c r="INT22" s="65"/>
      <c r="INU22" s="65"/>
      <c r="INV22" s="65"/>
      <c r="INW22" s="65"/>
      <c r="INX22" s="65"/>
      <c r="INY22" s="65"/>
      <c r="INZ22" s="65"/>
      <c r="IOA22" s="65"/>
      <c r="IOB22" s="65"/>
      <c r="IOC22" s="65"/>
      <c r="IOD22" s="65"/>
      <c r="IOE22" s="65"/>
      <c r="IOF22" s="65"/>
      <c r="IOG22" s="65"/>
      <c r="IOH22" s="65"/>
      <c r="IOI22" s="65"/>
      <c r="IOJ22" s="65"/>
      <c r="IOK22" s="65"/>
      <c r="IOL22" s="65"/>
      <c r="IOM22" s="65"/>
      <c r="ION22" s="65"/>
      <c r="IOO22" s="65"/>
      <c r="IOP22" s="65"/>
      <c r="IOQ22" s="65"/>
      <c r="IOR22" s="65"/>
      <c r="IOS22" s="65"/>
      <c r="IOT22" s="65"/>
      <c r="IOU22" s="65"/>
      <c r="IOV22" s="65"/>
      <c r="IOW22" s="65"/>
      <c r="IOX22" s="65"/>
      <c r="IOY22" s="65"/>
      <c r="IOZ22" s="65"/>
      <c r="IPA22" s="65"/>
      <c r="IPB22" s="65"/>
      <c r="IPC22" s="65"/>
      <c r="IPD22" s="65"/>
      <c r="IPE22" s="65"/>
      <c r="IPF22" s="65"/>
      <c r="IPG22" s="65"/>
      <c r="IPH22" s="65"/>
      <c r="IPI22" s="65"/>
      <c r="IPJ22" s="65"/>
      <c r="IPK22" s="65"/>
      <c r="IPL22" s="65"/>
      <c r="IPM22" s="65"/>
      <c r="IPN22" s="65"/>
      <c r="IPO22" s="65"/>
      <c r="IPP22" s="65"/>
      <c r="IPQ22" s="65"/>
      <c r="IPR22" s="65"/>
      <c r="IPS22" s="65"/>
      <c r="IPT22" s="65"/>
      <c r="IPU22" s="65"/>
      <c r="IPV22" s="65"/>
      <c r="IPW22" s="65"/>
      <c r="IPX22" s="65"/>
      <c r="IPY22" s="65"/>
      <c r="IPZ22" s="65"/>
      <c r="IQA22" s="65"/>
      <c r="IQB22" s="65"/>
      <c r="IQC22" s="65"/>
      <c r="IQD22" s="65"/>
      <c r="IQE22" s="65"/>
      <c r="IQF22" s="65"/>
      <c r="IQG22" s="65"/>
      <c r="IQH22" s="65"/>
      <c r="IQI22" s="65"/>
      <c r="IQJ22" s="65"/>
      <c r="IQK22" s="65"/>
      <c r="IQL22" s="65"/>
      <c r="IQM22" s="65"/>
      <c r="IQN22" s="65"/>
      <c r="IQO22" s="65"/>
      <c r="IQP22" s="65"/>
      <c r="IQQ22" s="65"/>
      <c r="IQR22" s="65"/>
      <c r="IQS22" s="65"/>
      <c r="IQT22" s="65"/>
      <c r="IQU22" s="65"/>
      <c r="IQV22" s="65"/>
      <c r="IQW22" s="65"/>
      <c r="IQX22" s="65"/>
      <c r="IQY22" s="65"/>
      <c r="IQZ22" s="65"/>
      <c r="IRA22" s="65"/>
      <c r="IRB22" s="65"/>
      <c r="IRC22" s="65"/>
      <c r="IRD22" s="65"/>
      <c r="IRE22" s="65"/>
      <c r="IRF22" s="65"/>
      <c r="IRG22" s="65"/>
      <c r="IRH22" s="65"/>
      <c r="IRI22" s="65"/>
      <c r="IRJ22" s="65"/>
      <c r="IRK22" s="65"/>
      <c r="IRL22" s="65"/>
      <c r="IRM22" s="65"/>
      <c r="IRN22" s="65"/>
      <c r="IRO22" s="65"/>
      <c r="IRP22" s="65"/>
      <c r="IRQ22" s="65"/>
      <c r="IRR22" s="65"/>
      <c r="IRS22" s="65"/>
      <c r="IRT22" s="65"/>
      <c r="IRU22" s="65"/>
      <c r="IRV22" s="65"/>
      <c r="IRW22" s="65"/>
      <c r="IRX22" s="65"/>
      <c r="IRY22" s="65"/>
      <c r="IRZ22" s="65"/>
      <c r="ISA22" s="65"/>
      <c r="ISB22" s="65"/>
      <c r="ISC22" s="65"/>
      <c r="ISD22" s="65"/>
      <c r="ISE22" s="65"/>
      <c r="ISF22" s="65"/>
      <c r="ISG22" s="65"/>
      <c r="ISH22" s="65"/>
      <c r="ISI22" s="65"/>
      <c r="ISJ22" s="65"/>
      <c r="ISK22" s="65"/>
      <c r="ISL22" s="65"/>
      <c r="ISM22" s="65"/>
      <c r="ISN22" s="65"/>
      <c r="ISO22" s="65"/>
      <c r="ISP22" s="65"/>
      <c r="ISQ22" s="65"/>
      <c r="ISR22" s="65"/>
      <c r="ISS22" s="65"/>
      <c r="IST22" s="65"/>
      <c r="ISU22" s="65"/>
      <c r="ISV22" s="65"/>
      <c r="ISW22" s="65"/>
      <c r="ISX22" s="65"/>
      <c r="ISY22" s="65"/>
      <c r="ISZ22" s="65"/>
      <c r="ITA22" s="65"/>
      <c r="ITB22" s="65"/>
      <c r="ITC22" s="65"/>
      <c r="ITD22" s="65"/>
      <c r="ITE22" s="65"/>
      <c r="ITF22" s="65"/>
      <c r="ITG22" s="65"/>
      <c r="ITH22" s="65"/>
      <c r="ITI22" s="65"/>
      <c r="ITJ22" s="65"/>
      <c r="ITK22" s="65"/>
      <c r="ITL22" s="65"/>
      <c r="ITM22" s="65"/>
      <c r="ITN22" s="65"/>
      <c r="ITO22" s="65"/>
      <c r="ITP22" s="65"/>
      <c r="ITQ22" s="65"/>
      <c r="ITR22" s="65"/>
      <c r="ITS22" s="65"/>
      <c r="ITT22" s="65"/>
      <c r="ITU22" s="65"/>
      <c r="ITV22" s="65"/>
      <c r="ITW22" s="65"/>
      <c r="ITX22" s="65"/>
      <c r="ITY22" s="65"/>
      <c r="ITZ22" s="65"/>
      <c r="IUA22" s="65"/>
      <c r="IUB22" s="65"/>
      <c r="IUC22" s="65"/>
      <c r="IUD22" s="65"/>
      <c r="IUE22" s="65"/>
      <c r="IUF22" s="65"/>
      <c r="IUG22" s="65"/>
      <c r="IUH22" s="65"/>
      <c r="IUI22" s="65"/>
      <c r="IUJ22" s="65"/>
      <c r="IUK22" s="65"/>
      <c r="IUL22" s="65"/>
      <c r="IUM22" s="65"/>
      <c r="IUN22" s="65"/>
      <c r="IUO22" s="65"/>
      <c r="IUP22" s="65"/>
      <c r="IUQ22" s="65"/>
      <c r="IUR22" s="65"/>
      <c r="IUS22" s="65"/>
      <c r="IUT22" s="65"/>
      <c r="IUU22" s="65"/>
      <c r="IUV22" s="65"/>
      <c r="IUW22" s="65"/>
      <c r="IUX22" s="65"/>
      <c r="IUY22" s="65"/>
      <c r="IUZ22" s="65"/>
      <c r="IVA22" s="65"/>
      <c r="IVB22" s="65"/>
      <c r="IVC22" s="65"/>
      <c r="IVD22" s="65"/>
      <c r="IVE22" s="65"/>
      <c r="IVF22" s="65"/>
      <c r="IVG22" s="65"/>
      <c r="IVH22" s="65"/>
      <c r="IVI22" s="65"/>
      <c r="IVJ22" s="65"/>
      <c r="IVK22" s="65"/>
      <c r="IVL22" s="65"/>
      <c r="IVM22" s="65"/>
      <c r="IVN22" s="65"/>
      <c r="IVO22" s="65"/>
      <c r="IVP22" s="65"/>
      <c r="IVQ22" s="65"/>
      <c r="IVR22" s="65"/>
      <c r="IVS22" s="65"/>
      <c r="IVT22" s="65"/>
      <c r="IVU22" s="65"/>
      <c r="IVV22" s="65"/>
      <c r="IVW22" s="65"/>
      <c r="IVX22" s="65"/>
      <c r="IVY22" s="65"/>
      <c r="IVZ22" s="65"/>
      <c r="IWA22" s="65"/>
      <c r="IWB22" s="65"/>
      <c r="IWC22" s="65"/>
      <c r="IWD22" s="65"/>
      <c r="IWE22" s="65"/>
      <c r="IWF22" s="65"/>
      <c r="IWG22" s="65"/>
      <c r="IWH22" s="65"/>
      <c r="IWI22" s="65"/>
      <c r="IWJ22" s="65"/>
      <c r="IWK22" s="65"/>
      <c r="IWL22" s="65"/>
      <c r="IWM22" s="65"/>
      <c r="IWN22" s="65"/>
      <c r="IWO22" s="65"/>
      <c r="IWP22" s="65"/>
      <c r="IWQ22" s="65"/>
      <c r="IWR22" s="65"/>
      <c r="IWS22" s="65"/>
      <c r="IWT22" s="65"/>
      <c r="IWU22" s="65"/>
      <c r="IWV22" s="65"/>
      <c r="IWW22" s="65"/>
      <c r="IWX22" s="65"/>
      <c r="IWY22" s="65"/>
      <c r="IWZ22" s="65"/>
      <c r="IXA22" s="65"/>
      <c r="IXB22" s="65"/>
      <c r="IXC22" s="65"/>
      <c r="IXD22" s="65"/>
      <c r="IXE22" s="65"/>
      <c r="IXF22" s="65"/>
      <c r="IXG22" s="65"/>
      <c r="IXH22" s="65"/>
      <c r="IXI22" s="65"/>
      <c r="IXJ22" s="65"/>
      <c r="IXK22" s="65"/>
      <c r="IXL22" s="65"/>
      <c r="IXM22" s="65"/>
      <c r="IXN22" s="65"/>
      <c r="IXO22" s="65"/>
      <c r="IXP22" s="65"/>
      <c r="IXQ22" s="65"/>
      <c r="IXR22" s="65"/>
      <c r="IXS22" s="65"/>
      <c r="IXT22" s="65"/>
      <c r="IXU22" s="65"/>
      <c r="IXV22" s="65"/>
      <c r="IXW22" s="65"/>
      <c r="IXX22" s="65"/>
      <c r="IXY22" s="65"/>
      <c r="IXZ22" s="65"/>
      <c r="IYA22" s="65"/>
      <c r="IYB22" s="65"/>
      <c r="IYC22" s="65"/>
      <c r="IYD22" s="65"/>
      <c r="IYE22" s="65"/>
      <c r="IYF22" s="65"/>
      <c r="IYG22" s="65"/>
      <c r="IYH22" s="65"/>
      <c r="IYI22" s="65"/>
      <c r="IYJ22" s="65"/>
      <c r="IYK22" s="65"/>
      <c r="IYL22" s="65"/>
      <c r="IYM22" s="65"/>
      <c r="IYN22" s="65"/>
      <c r="IYO22" s="65"/>
      <c r="IYP22" s="65"/>
      <c r="IYQ22" s="65"/>
      <c r="IYR22" s="65"/>
      <c r="IYS22" s="65"/>
      <c r="IYT22" s="65"/>
      <c r="IYU22" s="65"/>
      <c r="IYV22" s="65"/>
      <c r="IYW22" s="65"/>
      <c r="IYX22" s="65"/>
      <c r="IYY22" s="65"/>
      <c r="IYZ22" s="65"/>
      <c r="IZA22" s="65"/>
      <c r="IZB22" s="65"/>
      <c r="IZC22" s="65"/>
      <c r="IZD22" s="65"/>
      <c r="IZE22" s="65"/>
      <c r="IZF22" s="65"/>
      <c r="IZG22" s="65"/>
      <c r="IZH22" s="65"/>
      <c r="IZI22" s="65"/>
      <c r="IZJ22" s="65"/>
      <c r="IZK22" s="65"/>
      <c r="IZL22" s="65"/>
      <c r="IZM22" s="65"/>
      <c r="IZN22" s="65"/>
      <c r="IZO22" s="65"/>
      <c r="IZP22" s="65"/>
      <c r="IZQ22" s="65"/>
      <c r="IZR22" s="65"/>
      <c r="IZS22" s="65"/>
      <c r="IZT22" s="65"/>
      <c r="IZU22" s="65"/>
      <c r="IZV22" s="65"/>
      <c r="IZW22" s="65"/>
      <c r="IZX22" s="65"/>
      <c r="IZY22" s="65"/>
      <c r="IZZ22" s="65"/>
      <c r="JAA22" s="65"/>
      <c r="JAB22" s="65"/>
      <c r="JAC22" s="65"/>
      <c r="JAD22" s="65"/>
      <c r="JAE22" s="65"/>
      <c r="JAF22" s="65"/>
      <c r="JAG22" s="65"/>
      <c r="JAH22" s="65"/>
      <c r="JAI22" s="65"/>
      <c r="JAJ22" s="65"/>
      <c r="JAK22" s="65"/>
      <c r="JAL22" s="65"/>
      <c r="JAM22" s="65"/>
      <c r="JAN22" s="65"/>
      <c r="JAO22" s="65"/>
      <c r="JAP22" s="65"/>
      <c r="JAQ22" s="65"/>
      <c r="JAR22" s="65"/>
      <c r="JAS22" s="65"/>
      <c r="JAT22" s="65"/>
      <c r="JAU22" s="65"/>
      <c r="JAV22" s="65"/>
      <c r="JAW22" s="65"/>
      <c r="JAX22" s="65"/>
      <c r="JAY22" s="65"/>
      <c r="JAZ22" s="65"/>
      <c r="JBA22" s="65"/>
      <c r="JBB22" s="65"/>
      <c r="JBC22" s="65"/>
      <c r="JBD22" s="65"/>
      <c r="JBE22" s="65"/>
      <c r="JBF22" s="65"/>
      <c r="JBG22" s="65"/>
      <c r="JBH22" s="65"/>
      <c r="JBI22" s="65"/>
      <c r="JBJ22" s="65"/>
      <c r="JBK22" s="65"/>
      <c r="JBL22" s="65"/>
      <c r="JBM22" s="65"/>
      <c r="JBN22" s="65"/>
      <c r="JBO22" s="65"/>
      <c r="JBP22" s="65"/>
      <c r="JBQ22" s="65"/>
      <c r="JBR22" s="65"/>
      <c r="JBS22" s="65"/>
      <c r="JBT22" s="65"/>
      <c r="JBU22" s="65"/>
      <c r="JBV22" s="65"/>
      <c r="JBW22" s="65"/>
      <c r="JBX22" s="65"/>
      <c r="JBY22" s="65"/>
      <c r="JBZ22" s="65"/>
      <c r="JCA22" s="65"/>
      <c r="JCB22" s="65"/>
      <c r="JCC22" s="65"/>
      <c r="JCD22" s="65"/>
      <c r="JCE22" s="65"/>
      <c r="JCF22" s="65"/>
      <c r="JCG22" s="65"/>
      <c r="JCH22" s="65"/>
      <c r="JCI22" s="65"/>
      <c r="JCJ22" s="65"/>
      <c r="JCK22" s="65"/>
      <c r="JCL22" s="65"/>
      <c r="JCM22" s="65"/>
      <c r="JCN22" s="65"/>
      <c r="JCO22" s="65"/>
      <c r="JCP22" s="65"/>
      <c r="JCQ22" s="65"/>
      <c r="JCR22" s="65"/>
      <c r="JCS22" s="65"/>
      <c r="JCT22" s="65"/>
      <c r="JCU22" s="65"/>
      <c r="JCV22" s="65"/>
      <c r="JCW22" s="65"/>
      <c r="JCX22" s="65"/>
      <c r="JCY22" s="65"/>
      <c r="JCZ22" s="65"/>
      <c r="JDA22" s="65"/>
      <c r="JDB22" s="65"/>
      <c r="JDC22" s="65"/>
      <c r="JDD22" s="65"/>
      <c r="JDE22" s="65"/>
      <c r="JDF22" s="65"/>
      <c r="JDG22" s="65"/>
      <c r="JDH22" s="65"/>
      <c r="JDI22" s="65"/>
      <c r="JDJ22" s="65"/>
      <c r="JDK22" s="65"/>
      <c r="JDL22" s="65"/>
      <c r="JDM22" s="65"/>
      <c r="JDN22" s="65"/>
      <c r="JDO22" s="65"/>
      <c r="JDP22" s="65"/>
      <c r="JDQ22" s="65"/>
      <c r="JDR22" s="65"/>
      <c r="JDS22" s="65"/>
      <c r="JDT22" s="65"/>
      <c r="JDU22" s="65"/>
      <c r="JDV22" s="65"/>
      <c r="JDW22" s="65"/>
      <c r="JDX22" s="65"/>
      <c r="JDY22" s="65"/>
      <c r="JDZ22" s="65"/>
      <c r="JEA22" s="65"/>
      <c r="JEB22" s="65"/>
      <c r="JEC22" s="65"/>
      <c r="JED22" s="65"/>
      <c r="JEE22" s="65"/>
      <c r="JEF22" s="65"/>
      <c r="JEG22" s="65"/>
      <c r="JEH22" s="65"/>
      <c r="JEI22" s="65"/>
      <c r="JEJ22" s="65"/>
      <c r="JEK22" s="65"/>
      <c r="JEL22" s="65"/>
      <c r="JEM22" s="65"/>
      <c r="JEN22" s="65"/>
      <c r="JEO22" s="65"/>
      <c r="JEP22" s="65"/>
      <c r="JEQ22" s="65"/>
      <c r="JER22" s="65"/>
      <c r="JES22" s="65"/>
      <c r="JET22" s="65"/>
      <c r="JEU22" s="65"/>
      <c r="JEV22" s="65"/>
      <c r="JEW22" s="65"/>
      <c r="JEX22" s="65"/>
      <c r="JEY22" s="65"/>
      <c r="JEZ22" s="65"/>
      <c r="JFA22" s="65"/>
      <c r="JFB22" s="65"/>
      <c r="JFC22" s="65"/>
      <c r="JFD22" s="65"/>
      <c r="JFE22" s="65"/>
      <c r="JFF22" s="65"/>
      <c r="JFG22" s="65"/>
      <c r="JFH22" s="65"/>
      <c r="JFI22" s="65"/>
      <c r="JFJ22" s="65"/>
      <c r="JFK22" s="65"/>
      <c r="JFL22" s="65"/>
      <c r="JFM22" s="65"/>
      <c r="JFN22" s="65"/>
      <c r="JFO22" s="65"/>
      <c r="JFP22" s="65"/>
      <c r="JFQ22" s="65"/>
      <c r="JFR22" s="65"/>
      <c r="JFS22" s="65"/>
      <c r="JFT22" s="65"/>
      <c r="JFU22" s="65"/>
      <c r="JFV22" s="65"/>
      <c r="JFW22" s="65"/>
      <c r="JFX22" s="65"/>
      <c r="JFY22" s="65"/>
      <c r="JFZ22" s="65"/>
      <c r="JGA22" s="65"/>
      <c r="JGB22" s="65"/>
      <c r="JGC22" s="65"/>
      <c r="JGD22" s="65"/>
      <c r="JGE22" s="65"/>
      <c r="JGF22" s="65"/>
      <c r="JGG22" s="65"/>
      <c r="JGH22" s="65"/>
      <c r="JGI22" s="65"/>
      <c r="JGJ22" s="65"/>
      <c r="JGK22" s="65"/>
      <c r="JGL22" s="65"/>
      <c r="JGM22" s="65"/>
      <c r="JGN22" s="65"/>
      <c r="JGO22" s="65"/>
      <c r="JGP22" s="65"/>
      <c r="JGQ22" s="65"/>
      <c r="JGR22" s="65"/>
      <c r="JGS22" s="65"/>
      <c r="JGT22" s="65"/>
      <c r="JGU22" s="65"/>
      <c r="JGV22" s="65"/>
      <c r="JGW22" s="65"/>
      <c r="JGX22" s="65"/>
      <c r="JGY22" s="65"/>
      <c r="JGZ22" s="65"/>
      <c r="JHA22" s="65"/>
      <c r="JHB22" s="65"/>
      <c r="JHC22" s="65"/>
      <c r="JHD22" s="65"/>
      <c r="JHE22" s="65"/>
      <c r="JHF22" s="65"/>
      <c r="JHG22" s="65"/>
      <c r="JHH22" s="65"/>
      <c r="JHI22" s="65"/>
      <c r="JHJ22" s="65"/>
      <c r="JHK22" s="65"/>
      <c r="JHL22" s="65"/>
      <c r="JHM22" s="65"/>
      <c r="JHN22" s="65"/>
      <c r="JHO22" s="65"/>
      <c r="JHP22" s="65"/>
      <c r="JHQ22" s="65"/>
      <c r="JHR22" s="65"/>
      <c r="JHS22" s="65"/>
      <c r="JHT22" s="65"/>
      <c r="JHU22" s="65"/>
      <c r="JHV22" s="65"/>
      <c r="JHW22" s="65"/>
      <c r="JHX22" s="65"/>
      <c r="JHY22" s="65"/>
      <c r="JHZ22" s="65"/>
      <c r="JIA22" s="65"/>
      <c r="JIB22" s="65"/>
      <c r="JIC22" s="65"/>
      <c r="JID22" s="65"/>
      <c r="JIE22" s="65"/>
      <c r="JIF22" s="65"/>
      <c r="JIG22" s="65"/>
      <c r="JIH22" s="65"/>
      <c r="JII22" s="65"/>
      <c r="JIJ22" s="65"/>
      <c r="JIK22" s="65"/>
      <c r="JIL22" s="65"/>
      <c r="JIM22" s="65"/>
      <c r="JIN22" s="65"/>
      <c r="JIO22" s="65"/>
      <c r="JIP22" s="65"/>
      <c r="JIQ22" s="65"/>
      <c r="JIR22" s="65"/>
      <c r="JIS22" s="65"/>
      <c r="JIT22" s="65"/>
      <c r="JIU22" s="65"/>
      <c r="JIV22" s="65"/>
      <c r="JIW22" s="65"/>
      <c r="JIX22" s="65"/>
      <c r="JIY22" s="65"/>
      <c r="JIZ22" s="65"/>
      <c r="JJA22" s="65"/>
      <c r="JJB22" s="65"/>
      <c r="JJC22" s="65"/>
      <c r="JJD22" s="65"/>
      <c r="JJE22" s="65"/>
      <c r="JJF22" s="65"/>
      <c r="JJG22" s="65"/>
      <c r="JJH22" s="65"/>
      <c r="JJI22" s="65"/>
      <c r="JJJ22" s="65"/>
      <c r="JJK22" s="65"/>
      <c r="JJL22" s="65"/>
      <c r="JJM22" s="65"/>
      <c r="JJN22" s="65"/>
      <c r="JJO22" s="65"/>
      <c r="JJP22" s="65"/>
      <c r="JJQ22" s="65"/>
      <c r="JJR22" s="65"/>
      <c r="JJS22" s="65"/>
      <c r="JJT22" s="65"/>
      <c r="JJU22" s="65"/>
      <c r="JJV22" s="65"/>
      <c r="JJW22" s="65"/>
      <c r="JJX22" s="65"/>
      <c r="JJY22" s="65"/>
      <c r="JJZ22" s="65"/>
      <c r="JKA22" s="65"/>
      <c r="JKB22" s="65"/>
      <c r="JKC22" s="65"/>
      <c r="JKD22" s="65"/>
      <c r="JKE22" s="65"/>
      <c r="JKF22" s="65"/>
      <c r="JKG22" s="65"/>
      <c r="JKH22" s="65"/>
      <c r="JKI22" s="65"/>
      <c r="JKJ22" s="65"/>
      <c r="JKK22" s="65"/>
      <c r="JKL22" s="65"/>
      <c r="JKM22" s="65"/>
      <c r="JKN22" s="65"/>
      <c r="JKO22" s="65"/>
      <c r="JKP22" s="65"/>
      <c r="JKQ22" s="65"/>
      <c r="JKR22" s="65"/>
      <c r="JKS22" s="65"/>
      <c r="JKT22" s="65"/>
      <c r="JKU22" s="65"/>
      <c r="JKV22" s="65"/>
      <c r="JKW22" s="65"/>
      <c r="JKX22" s="65"/>
      <c r="JKY22" s="65"/>
      <c r="JKZ22" s="65"/>
      <c r="JLA22" s="65"/>
      <c r="JLB22" s="65"/>
      <c r="JLC22" s="65"/>
      <c r="JLD22" s="65"/>
      <c r="JLE22" s="65"/>
      <c r="JLF22" s="65"/>
      <c r="JLG22" s="65"/>
      <c r="JLH22" s="65"/>
      <c r="JLI22" s="65"/>
      <c r="JLJ22" s="65"/>
      <c r="JLK22" s="65"/>
      <c r="JLL22" s="65"/>
      <c r="JLM22" s="65"/>
      <c r="JLN22" s="65"/>
      <c r="JLO22" s="65"/>
      <c r="JLP22" s="65"/>
      <c r="JLQ22" s="65"/>
      <c r="JLR22" s="65"/>
      <c r="JLS22" s="65"/>
      <c r="JLT22" s="65"/>
      <c r="JLU22" s="65"/>
      <c r="JLV22" s="65"/>
      <c r="JLW22" s="65"/>
      <c r="JLX22" s="65"/>
      <c r="JLY22" s="65"/>
      <c r="JLZ22" s="65"/>
      <c r="JMA22" s="65"/>
      <c r="JMB22" s="65"/>
      <c r="JMC22" s="65"/>
      <c r="JMD22" s="65"/>
      <c r="JME22" s="65"/>
      <c r="JMF22" s="65"/>
      <c r="JMG22" s="65"/>
      <c r="JMH22" s="65"/>
      <c r="JMI22" s="65"/>
      <c r="JMJ22" s="65"/>
      <c r="JMK22" s="65"/>
      <c r="JML22" s="65"/>
      <c r="JMM22" s="65"/>
      <c r="JMN22" s="65"/>
      <c r="JMO22" s="65"/>
      <c r="JMP22" s="65"/>
      <c r="JMQ22" s="65"/>
      <c r="JMR22" s="65"/>
      <c r="JMS22" s="65"/>
      <c r="JMT22" s="65"/>
      <c r="JMU22" s="65"/>
      <c r="JMV22" s="65"/>
      <c r="JMW22" s="65"/>
      <c r="JMX22" s="65"/>
      <c r="JMY22" s="65"/>
      <c r="JMZ22" s="65"/>
      <c r="JNA22" s="65"/>
      <c r="JNB22" s="65"/>
      <c r="JNC22" s="65"/>
      <c r="JND22" s="65"/>
      <c r="JNE22" s="65"/>
      <c r="JNF22" s="65"/>
      <c r="JNG22" s="65"/>
      <c r="JNH22" s="65"/>
      <c r="JNI22" s="65"/>
      <c r="JNJ22" s="65"/>
      <c r="JNK22" s="65"/>
      <c r="JNL22" s="65"/>
      <c r="JNM22" s="65"/>
      <c r="JNN22" s="65"/>
      <c r="JNO22" s="65"/>
      <c r="JNP22" s="65"/>
      <c r="JNQ22" s="65"/>
      <c r="JNR22" s="65"/>
      <c r="JNS22" s="65"/>
      <c r="JNT22" s="65"/>
      <c r="JNU22" s="65"/>
      <c r="JNV22" s="65"/>
      <c r="JNW22" s="65"/>
      <c r="JNX22" s="65"/>
      <c r="JNY22" s="65"/>
      <c r="JNZ22" s="65"/>
      <c r="JOA22" s="65"/>
      <c r="JOB22" s="65"/>
      <c r="JOC22" s="65"/>
      <c r="JOD22" s="65"/>
      <c r="JOE22" s="65"/>
      <c r="JOF22" s="65"/>
      <c r="JOG22" s="65"/>
      <c r="JOH22" s="65"/>
      <c r="JOI22" s="65"/>
      <c r="JOJ22" s="65"/>
      <c r="JOK22" s="65"/>
      <c r="JOL22" s="65"/>
      <c r="JOM22" s="65"/>
      <c r="JON22" s="65"/>
      <c r="JOO22" s="65"/>
      <c r="JOP22" s="65"/>
      <c r="JOQ22" s="65"/>
      <c r="JOR22" s="65"/>
      <c r="JOS22" s="65"/>
      <c r="JOT22" s="65"/>
      <c r="JOU22" s="65"/>
      <c r="JOV22" s="65"/>
      <c r="JOW22" s="65"/>
      <c r="JOX22" s="65"/>
      <c r="JOY22" s="65"/>
      <c r="JOZ22" s="65"/>
      <c r="JPA22" s="65"/>
      <c r="JPB22" s="65"/>
      <c r="JPC22" s="65"/>
      <c r="JPD22" s="65"/>
      <c r="JPE22" s="65"/>
      <c r="JPF22" s="65"/>
      <c r="JPG22" s="65"/>
      <c r="JPH22" s="65"/>
      <c r="JPI22" s="65"/>
      <c r="JPJ22" s="65"/>
      <c r="JPK22" s="65"/>
      <c r="JPL22" s="65"/>
      <c r="JPM22" s="65"/>
      <c r="JPN22" s="65"/>
      <c r="JPO22" s="65"/>
      <c r="JPP22" s="65"/>
      <c r="JPQ22" s="65"/>
      <c r="JPR22" s="65"/>
      <c r="JPS22" s="65"/>
      <c r="JPT22" s="65"/>
      <c r="JPU22" s="65"/>
      <c r="JPV22" s="65"/>
      <c r="JPW22" s="65"/>
      <c r="JPX22" s="65"/>
      <c r="JPY22" s="65"/>
      <c r="JPZ22" s="65"/>
      <c r="JQA22" s="65"/>
      <c r="JQB22" s="65"/>
      <c r="JQC22" s="65"/>
      <c r="JQD22" s="65"/>
      <c r="JQE22" s="65"/>
      <c r="JQF22" s="65"/>
      <c r="JQG22" s="65"/>
      <c r="JQH22" s="65"/>
      <c r="JQI22" s="65"/>
      <c r="JQJ22" s="65"/>
      <c r="JQK22" s="65"/>
      <c r="JQL22" s="65"/>
      <c r="JQM22" s="65"/>
      <c r="JQN22" s="65"/>
      <c r="JQO22" s="65"/>
      <c r="JQP22" s="65"/>
      <c r="JQQ22" s="65"/>
      <c r="JQR22" s="65"/>
      <c r="JQS22" s="65"/>
      <c r="JQT22" s="65"/>
      <c r="JQU22" s="65"/>
      <c r="JQV22" s="65"/>
      <c r="JQW22" s="65"/>
      <c r="JQX22" s="65"/>
      <c r="JQY22" s="65"/>
      <c r="JQZ22" s="65"/>
      <c r="JRA22" s="65"/>
      <c r="JRB22" s="65"/>
      <c r="JRC22" s="65"/>
      <c r="JRD22" s="65"/>
      <c r="JRE22" s="65"/>
      <c r="JRF22" s="65"/>
      <c r="JRG22" s="65"/>
      <c r="JRH22" s="65"/>
      <c r="JRI22" s="65"/>
      <c r="JRJ22" s="65"/>
      <c r="JRK22" s="65"/>
      <c r="JRL22" s="65"/>
      <c r="JRM22" s="65"/>
      <c r="JRN22" s="65"/>
      <c r="JRO22" s="65"/>
      <c r="JRP22" s="65"/>
      <c r="JRQ22" s="65"/>
      <c r="JRR22" s="65"/>
      <c r="JRS22" s="65"/>
      <c r="JRT22" s="65"/>
      <c r="JRU22" s="65"/>
      <c r="JRV22" s="65"/>
      <c r="JRW22" s="65"/>
      <c r="JRX22" s="65"/>
      <c r="JRY22" s="65"/>
      <c r="JRZ22" s="65"/>
      <c r="JSA22" s="65"/>
      <c r="JSB22" s="65"/>
      <c r="JSC22" s="65"/>
      <c r="JSD22" s="65"/>
      <c r="JSE22" s="65"/>
      <c r="JSF22" s="65"/>
      <c r="JSG22" s="65"/>
      <c r="JSH22" s="65"/>
      <c r="JSI22" s="65"/>
      <c r="JSJ22" s="65"/>
      <c r="JSK22" s="65"/>
      <c r="JSL22" s="65"/>
      <c r="JSM22" s="65"/>
      <c r="JSN22" s="65"/>
      <c r="JSO22" s="65"/>
      <c r="JSP22" s="65"/>
      <c r="JSQ22" s="65"/>
      <c r="JSR22" s="65"/>
      <c r="JSS22" s="65"/>
      <c r="JST22" s="65"/>
      <c r="JSU22" s="65"/>
      <c r="JSV22" s="65"/>
      <c r="JSW22" s="65"/>
      <c r="JSX22" s="65"/>
      <c r="JSY22" s="65"/>
      <c r="JSZ22" s="65"/>
      <c r="JTA22" s="65"/>
      <c r="JTB22" s="65"/>
      <c r="JTC22" s="65"/>
      <c r="JTD22" s="65"/>
      <c r="JTE22" s="65"/>
      <c r="JTF22" s="65"/>
      <c r="JTG22" s="65"/>
      <c r="JTH22" s="65"/>
      <c r="JTI22" s="65"/>
      <c r="JTJ22" s="65"/>
      <c r="JTK22" s="65"/>
      <c r="JTL22" s="65"/>
      <c r="JTM22" s="65"/>
      <c r="JTN22" s="65"/>
      <c r="JTO22" s="65"/>
      <c r="JTP22" s="65"/>
      <c r="JTQ22" s="65"/>
      <c r="JTR22" s="65"/>
      <c r="JTS22" s="65"/>
      <c r="JTT22" s="65"/>
      <c r="JTU22" s="65"/>
      <c r="JTV22" s="65"/>
      <c r="JTW22" s="65"/>
      <c r="JTX22" s="65"/>
      <c r="JTY22" s="65"/>
      <c r="JTZ22" s="65"/>
      <c r="JUA22" s="65"/>
      <c r="JUB22" s="65"/>
      <c r="JUC22" s="65"/>
      <c r="JUD22" s="65"/>
      <c r="JUE22" s="65"/>
      <c r="JUF22" s="65"/>
      <c r="JUG22" s="65"/>
      <c r="JUH22" s="65"/>
      <c r="JUI22" s="65"/>
      <c r="JUJ22" s="65"/>
      <c r="JUK22" s="65"/>
      <c r="JUL22" s="65"/>
      <c r="JUM22" s="65"/>
      <c r="JUN22" s="65"/>
      <c r="JUO22" s="65"/>
      <c r="JUP22" s="65"/>
      <c r="JUQ22" s="65"/>
      <c r="JUR22" s="65"/>
      <c r="JUS22" s="65"/>
      <c r="JUT22" s="65"/>
      <c r="JUU22" s="65"/>
      <c r="JUV22" s="65"/>
      <c r="JUW22" s="65"/>
      <c r="JUX22" s="65"/>
      <c r="JUY22" s="65"/>
      <c r="JUZ22" s="65"/>
      <c r="JVA22" s="65"/>
      <c r="JVB22" s="65"/>
      <c r="JVC22" s="65"/>
      <c r="JVD22" s="65"/>
      <c r="JVE22" s="65"/>
      <c r="JVF22" s="65"/>
      <c r="JVG22" s="65"/>
      <c r="JVH22" s="65"/>
      <c r="JVI22" s="65"/>
      <c r="JVJ22" s="65"/>
      <c r="JVK22" s="65"/>
      <c r="JVL22" s="65"/>
      <c r="JVM22" s="65"/>
      <c r="JVN22" s="65"/>
      <c r="JVO22" s="65"/>
      <c r="JVP22" s="65"/>
      <c r="JVQ22" s="65"/>
      <c r="JVR22" s="65"/>
      <c r="JVS22" s="65"/>
      <c r="JVT22" s="65"/>
      <c r="JVU22" s="65"/>
      <c r="JVV22" s="65"/>
      <c r="JVW22" s="65"/>
      <c r="JVX22" s="65"/>
      <c r="JVY22" s="65"/>
      <c r="JVZ22" s="65"/>
      <c r="JWA22" s="65"/>
      <c r="JWB22" s="65"/>
      <c r="JWC22" s="65"/>
      <c r="JWD22" s="65"/>
      <c r="JWE22" s="65"/>
      <c r="JWF22" s="65"/>
      <c r="JWG22" s="65"/>
      <c r="JWH22" s="65"/>
      <c r="JWI22" s="65"/>
      <c r="JWJ22" s="65"/>
      <c r="JWK22" s="65"/>
      <c r="JWL22" s="65"/>
      <c r="JWM22" s="65"/>
      <c r="JWN22" s="65"/>
      <c r="JWO22" s="65"/>
      <c r="JWP22" s="65"/>
      <c r="JWQ22" s="65"/>
      <c r="JWR22" s="65"/>
      <c r="JWS22" s="65"/>
      <c r="JWT22" s="65"/>
      <c r="JWU22" s="65"/>
      <c r="JWV22" s="65"/>
      <c r="JWW22" s="65"/>
      <c r="JWX22" s="65"/>
      <c r="JWY22" s="65"/>
      <c r="JWZ22" s="65"/>
      <c r="JXA22" s="65"/>
      <c r="JXB22" s="65"/>
      <c r="JXC22" s="65"/>
      <c r="JXD22" s="65"/>
      <c r="JXE22" s="65"/>
      <c r="JXF22" s="65"/>
      <c r="JXG22" s="65"/>
      <c r="JXH22" s="65"/>
      <c r="JXI22" s="65"/>
      <c r="JXJ22" s="65"/>
      <c r="JXK22" s="65"/>
      <c r="JXL22" s="65"/>
      <c r="JXM22" s="65"/>
      <c r="JXN22" s="65"/>
      <c r="JXO22" s="65"/>
      <c r="JXP22" s="65"/>
      <c r="JXQ22" s="65"/>
      <c r="JXR22" s="65"/>
      <c r="JXS22" s="65"/>
      <c r="JXT22" s="65"/>
      <c r="JXU22" s="65"/>
      <c r="JXV22" s="65"/>
      <c r="JXW22" s="65"/>
      <c r="JXX22" s="65"/>
      <c r="JXY22" s="65"/>
      <c r="JXZ22" s="65"/>
      <c r="JYA22" s="65"/>
      <c r="JYB22" s="65"/>
      <c r="JYC22" s="65"/>
      <c r="JYD22" s="65"/>
      <c r="JYE22" s="65"/>
      <c r="JYF22" s="65"/>
      <c r="JYG22" s="65"/>
      <c r="JYH22" s="65"/>
      <c r="JYI22" s="65"/>
      <c r="JYJ22" s="65"/>
      <c r="JYK22" s="65"/>
      <c r="JYL22" s="65"/>
      <c r="JYM22" s="65"/>
      <c r="JYN22" s="65"/>
      <c r="JYO22" s="65"/>
      <c r="JYP22" s="65"/>
      <c r="JYQ22" s="65"/>
      <c r="JYR22" s="65"/>
      <c r="JYS22" s="65"/>
      <c r="JYT22" s="65"/>
      <c r="JYU22" s="65"/>
      <c r="JYV22" s="65"/>
      <c r="JYW22" s="65"/>
      <c r="JYX22" s="65"/>
      <c r="JYY22" s="65"/>
      <c r="JYZ22" s="65"/>
      <c r="JZA22" s="65"/>
      <c r="JZB22" s="65"/>
      <c r="JZC22" s="65"/>
      <c r="JZD22" s="65"/>
      <c r="JZE22" s="65"/>
      <c r="JZF22" s="65"/>
      <c r="JZG22" s="65"/>
      <c r="JZH22" s="65"/>
      <c r="JZI22" s="65"/>
      <c r="JZJ22" s="65"/>
      <c r="JZK22" s="65"/>
      <c r="JZL22" s="65"/>
      <c r="JZM22" s="65"/>
      <c r="JZN22" s="65"/>
      <c r="JZO22" s="65"/>
      <c r="JZP22" s="65"/>
      <c r="JZQ22" s="65"/>
      <c r="JZR22" s="65"/>
      <c r="JZS22" s="65"/>
      <c r="JZT22" s="65"/>
      <c r="JZU22" s="65"/>
      <c r="JZV22" s="65"/>
      <c r="JZW22" s="65"/>
      <c r="JZX22" s="65"/>
      <c r="JZY22" s="65"/>
      <c r="JZZ22" s="65"/>
      <c r="KAA22" s="65"/>
      <c r="KAB22" s="65"/>
      <c r="KAC22" s="65"/>
      <c r="KAD22" s="65"/>
      <c r="KAE22" s="65"/>
      <c r="KAF22" s="65"/>
      <c r="KAG22" s="65"/>
      <c r="KAH22" s="65"/>
      <c r="KAI22" s="65"/>
      <c r="KAJ22" s="65"/>
      <c r="KAK22" s="65"/>
      <c r="KAL22" s="65"/>
      <c r="KAM22" s="65"/>
      <c r="KAN22" s="65"/>
      <c r="KAO22" s="65"/>
      <c r="KAP22" s="65"/>
      <c r="KAQ22" s="65"/>
      <c r="KAR22" s="65"/>
      <c r="KAS22" s="65"/>
      <c r="KAT22" s="65"/>
      <c r="KAU22" s="65"/>
      <c r="KAV22" s="65"/>
      <c r="KAW22" s="65"/>
      <c r="KAX22" s="65"/>
      <c r="KAY22" s="65"/>
      <c r="KAZ22" s="65"/>
      <c r="KBA22" s="65"/>
      <c r="KBB22" s="65"/>
      <c r="KBC22" s="65"/>
      <c r="KBD22" s="65"/>
      <c r="KBE22" s="65"/>
      <c r="KBF22" s="65"/>
      <c r="KBG22" s="65"/>
      <c r="KBH22" s="65"/>
      <c r="KBI22" s="65"/>
      <c r="KBJ22" s="65"/>
      <c r="KBK22" s="65"/>
      <c r="KBL22" s="65"/>
      <c r="KBM22" s="65"/>
      <c r="KBN22" s="65"/>
      <c r="KBO22" s="65"/>
      <c r="KBP22" s="65"/>
      <c r="KBQ22" s="65"/>
      <c r="KBR22" s="65"/>
      <c r="KBS22" s="65"/>
      <c r="KBT22" s="65"/>
      <c r="KBU22" s="65"/>
      <c r="KBV22" s="65"/>
      <c r="KBW22" s="65"/>
      <c r="KBX22" s="65"/>
      <c r="KBY22" s="65"/>
      <c r="KBZ22" s="65"/>
      <c r="KCA22" s="65"/>
      <c r="KCB22" s="65"/>
      <c r="KCC22" s="65"/>
      <c r="KCD22" s="65"/>
      <c r="KCE22" s="65"/>
      <c r="KCF22" s="65"/>
      <c r="KCG22" s="65"/>
      <c r="KCH22" s="65"/>
      <c r="KCI22" s="65"/>
      <c r="KCJ22" s="65"/>
      <c r="KCK22" s="65"/>
      <c r="KCL22" s="65"/>
      <c r="KCM22" s="65"/>
      <c r="KCN22" s="65"/>
      <c r="KCO22" s="65"/>
      <c r="KCP22" s="65"/>
      <c r="KCQ22" s="65"/>
      <c r="KCR22" s="65"/>
      <c r="KCS22" s="65"/>
      <c r="KCT22" s="65"/>
      <c r="KCU22" s="65"/>
      <c r="KCV22" s="65"/>
      <c r="KCW22" s="65"/>
      <c r="KCX22" s="65"/>
      <c r="KCY22" s="65"/>
      <c r="KCZ22" s="65"/>
      <c r="KDA22" s="65"/>
      <c r="KDB22" s="65"/>
      <c r="KDC22" s="65"/>
      <c r="KDD22" s="65"/>
      <c r="KDE22" s="65"/>
      <c r="KDF22" s="65"/>
      <c r="KDG22" s="65"/>
      <c r="KDH22" s="65"/>
      <c r="KDI22" s="65"/>
      <c r="KDJ22" s="65"/>
      <c r="KDK22" s="65"/>
      <c r="KDL22" s="65"/>
      <c r="KDM22" s="65"/>
      <c r="KDN22" s="65"/>
      <c r="KDO22" s="65"/>
      <c r="KDP22" s="65"/>
      <c r="KDQ22" s="65"/>
      <c r="KDR22" s="65"/>
      <c r="KDS22" s="65"/>
      <c r="KDT22" s="65"/>
      <c r="KDU22" s="65"/>
      <c r="KDV22" s="65"/>
      <c r="KDW22" s="65"/>
      <c r="KDX22" s="65"/>
      <c r="KDY22" s="65"/>
      <c r="KDZ22" s="65"/>
      <c r="KEA22" s="65"/>
      <c r="KEB22" s="65"/>
      <c r="KEC22" s="65"/>
      <c r="KED22" s="65"/>
      <c r="KEE22" s="65"/>
      <c r="KEF22" s="65"/>
      <c r="KEG22" s="65"/>
      <c r="KEH22" s="65"/>
      <c r="KEI22" s="65"/>
      <c r="KEJ22" s="65"/>
      <c r="KEK22" s="65"/>
      <c r="KEL22" s="65"/>
      <c r="KEM22" s="65"/>
      <c r="KEN22" s="65"/>
      <c r="KEO22" s="65"/>
      <c r="KEP22" s="65"/>
      <c r="KEQ22" s="65"/>
      <c r="KER22" s="65"/>
      <c r="KES22" s="65"/>
      <c r="KET22" s="65"/>
      <c r="KEU22" s="65"/>
      <c r="KEV22" s="65"/>
      <c r="KEW22" s="65"/>
      <c r="KEX22" s="65"/>
      <c r="KEY22" s="65"/>
      <c r="KEZ22" s="65"/>
      <c r="KFA22" s="65"/>
      <c r="KFB22" s="65"/>
      <c r="KFC22" s="65"/>
      <c r="KFD22" s="65"/>
      <c r="KFE22" s="65"/>
      <c r="KFF22" s="65"/>
      <c r="KFG22" s="65"/>
      <c r="KFH22" s="65"/>
      <c r="KFI22" s="65"/>
      <c r="KFJ22" s="65"/>
      <c r="KFK22" s="65"/>
      <c r="KFL22" s="65"/>
      <c r="KFM22" s="65"/>
      <c r="KFN22" s="65"/>
      <c r="KFO22" s="65"/>
      <c r="KFP22" s="65"/>
      <c r="KFQ22" s="65"/>
      <c r="KFR22" s="65"/>
      <c r="KFS22" s="65"/>
      <c r="KFT22" s="65"/>
      <c r="KFU22" s="65"/>
      <c r="KFV22" s="65"/>
      <c r="KFW22" s="65"/>
      <c r="KFX22" s="65"/>
      <c r="KFY22" s="65"/>
      <c r="KFZ22" s="65"/>
      <c r="KGA22" s="65"/>
      <c r="KGB22" s="65"/>
      <c r="KGC22" s="65"/>
      <c r="KGD22" s="65"/>
      <c r="KGE22" s="65"/>
      <c r="KGF22" s="65"/>
      <c r="KGG22" s="65"/>
      <c r="KGH22" s="65"/>
      <c r="KGI22" s="65"/>
      <c r="KGJ22" s="65"/>
      <c r="KGK22" s="65"/>
      <c r="KGL22" s="65"/>
      <c r="KGM22" s="65"/>
      <c r="KGN22" s="65"/>
      <c r="KGO22" s="65"/>
      <c r="KGP22" s="65"/>
      <c r="KGQ22" s="65"/>
      <c r="KGR22" s="65"/>
      <c r="KGS22" s="65"/>
      <c r="KGT22" s="65"/>
      <c r="KGU22" s="65"/>
      <c r="KGV22" s="65"/>
      <c r="KGW22" s="65"/>
      <c r="KGX22" s="65"/>
      <c r="KGY22" s="65"/>
      <c r="KGZ22" s="65"/>
      <c r="KHA22" s="65"/>
      <c r="KHB22" s="65"/>
      <c r="KHC22" s="65"/>
      <c r="KHD22" s="65"/>
      <c r="KHE22" s="65"/>
      <c r="KHF22" s="65"/>
      <c r="KHG22" s="65"/>
      <c r="KHH22" s="65"/>
      <c r="KHI22" s="65"/>
      <c r="KHJ22" s="65"/>
      <c r="KHK22" s="65"/>
      <c r="KHL22" s="65"/>
      <c r="KHM22" s="65"/>
      <c r="KHN22" s="65"/>
      <c r="KHO22" s="65"/>
      <c r="KHP22" s="65"/>
      <c r="KHQ22" s="65"/>
      <c r="KHR22" s="65"/>
      <c r="KHS22" s="65"/>
      <c r="KHT22" s="65"/>
      <c r="KHU22" s="65"/>
      <c r="KHV22" s="65"/>
      <c r="KHW22" s="65"/>
      <c r="KHX22" s="65"/>
      <c r="KHY22" s="65"/>
      <c r="KHZ22" s="65"/>
      <c r="KIA22" s="65"/>
      <c r="KIB22" s="65"/>
      <c r="KIC22" s="65"/>
      <c r="KID22" s="65"/>
      <c r="KIE22" s="65"/>
      <c r="KIF22" s="65"/>
      <c r="KIG22" s="65"/>
      <c r="KIH22" s="65"/>
      <c r="KII22" s="65"/>
      <c r="KIJ22" s="65"/>
      <c r="KIK22" s="65"/>
      <c r="KIL22" s="65"/>
      <c r="KIM22" s="65"/>
      <c r="KIN22" s="65"/>
      <c r="KIO22" s="65"/>
      <c r="KIP22" s="65"/>
      <c r="KIQ22" s="65"/>
      <c r="KIR22" s="65"/>
      <c r="KIS22" s="65"/>
      <c r="KIT22" s="65"/>
      <c r="KIU22" s="65"/>
      <c r="KIV22" s="65"/>
      <c r="KIW22" s="65"/>
      <c r="KIX22" s="65"/>
      <c r="KIY22" s="65"/>
      <c r="KIZ22" s="65"/>
      <c r="KJA22" s="65"/>
      <c r="KJB22" s="65"/>
      <c r="KJC22" s="65"/>
      <c r="KJD22" s="65"/>
      <c r="KJE22" s="65"/>
      <c r="KJF22" s="65"/>
      <c r="KJG22" s="65"/>
      <c r="KJH22" s="65"/>
      <c r="KJI22" s="65"/>
      <c r="KJJ22" s="65"/>
      <c r="KJK22" s="65"/>
      <c r="KJL22" s="65"/>
      <c r="KJM22" s="65"/>
      <c r="KJN22" s="65"/>
      <c r="KJO22" s="65"/>
      <c r="KJP22" s="65"/>
      <c r="KJQ22" s="65"/>
      <c r="KJR22" s="65"/>
      <c r="KJS22" s="65"/>
      <c r="KJT22" s="65"/>
      <c r="KJU22" s="65"/>
      <c r="KJV22" s="65"/>
      <c r="KJW22" s="65"/>
      <c r="KJX22" s="65"/>
      <c r="KJY22" s="65"/>
      <c r="KJZ22" s="65"/>
      <c r="KKA22" s="65"/>
      <c r="KKB22" s="65"/>
      <c r="KKC22" s="65"/>
      <c r="KKD22" s="65"/>
      <c r="KKE22" s="65"/>
      <c r="KKF22" s="65"/>
      <c r="KKG22" s="65"/>
      <c r="KKH22" s="65"/>
      <c r="KKI22" s="65"/>
      <c r="KKJ22" s="65"/>
      <c r="KKK22" s="65"/>
      <c r="KKL22" s="65"/>
      <c r="KKM22" s="65"/>
      <c r="KKN22" s="65"/>
      <c r="KKO22" s="65"/>
      <c r="KKP22" s="65"/>
      <c r="KKQ22" s="65"/>
      <c r="KKR22" s="65"/>
      <c r="KKS22" s="65"/>
      <c r="KKT22" s="65"/>
      <c r="KKU22" s="65"/>
      <c r="KKV22" s="65"/>
      <c r="KKW22" s="65"/>
      <c r="KKX22" s="65"/>
      <c r="KKY22" s="65"/>
      <c r="KKZ22" s="65"/>
      <c r="KLA22" s="65"/>
      <c r="KLB22" s="65"/>
      <c r="KLC22" s="65"/>
      <c r="KLD22" s="65"/>
      <c r="KLE22" s="65"/>
      <c r="KLF22" s="65"/>
      <c r="KLG22" s="65"/>
      <c r="KLH22" s="65"/>
      <c r="KLI22" s="65"/>
      <c r="KLJ22" s="65"/>
      <c r="KLK22" s="65"/>
      <c r="KLL22" s="65"/>
      <c r="KLM22" s="65"/>
      <c r="KLN22" s="65"/>
      <c r="KLO22" s="65"/>
      <c r="KLP22" s="65"/>
      <c r="KLQ22" s="65"/>
      <c r="KLR22" s="65"/>
      <c r="KLS22" s="65"/>
      <c r="KLT22" s="65"/>
      <c r="KLU22" s="65"/>
      <c r="KLV22" s="65"/>
      <c r="KLW22" s="65"/>
      <c r="KLX22" s="65"/>
      <c r="KLY22" s="65"/>
      <c r="KLZ22" s="65"/>
      <c r="KMA22" s="65"/>
      <c r="KMB22" s="65"/>
      <c r="KMC22" s="65"/>
      <c r="KMD22" s="65"/>
      <c r="KME22" s="65"/>
      <c r="KMF22" s="65"/>
      <c r="KMG22" s="65"/>
      <c r="KMH22" s="65"/>
      <c r="KMI22" s="65"/>
      <c r="KMJ22" s="65"/>
      <c r="KMK22" s="65"/>
      <c r="KML22" s="65"/>
      <c r="KMM22" s="65"/>
      <c r="KMN22" s="65"/>
      <c r="KMO22" s="65"/>
      <c r="KMP22" s="65"/>
      <c r="KMQ22" s="65"/>
      <c r="KMR22" s="65"/>
      <c r="KMS22" s="65"/>
      <c r="KMT22" s="65"/>
      <c r="KMU22" s="65"/>
      <c r="KMV22" s="65"/>
      <c r="KMW22" s="65"/>
      <c r="KMX22" s="65"/>
      <c r="KMY22" s="65"/>
      <c r="KMZ22" s="65"/>
      <c r="KNA22" s="65"/>
      <c r="KNB22" s="65"/>
      <c r="KNC22" s="65"/>
      <c r="KND22" s="65"/>
      <c r="KNE22" s="65"/>
      <c r="KNF22" s="65"/>
      <c r="KNG22" s="65"/>
      <c r="KNH22" s="65"/>
      <c r="KNI22" s="65"/>
      <c r="KNJ22" s="65"/>
      <c r="KNK22" s="65"/>
      <c r="KNL22" s="65"/>
      <c r="KNM22" s="65"/>
      <c r="KNN22" s="65"/>
      <c r="KNO22" s="65"/>
      <c r="KNP22" s="65"/>
      <c r="KNQ22" s="65"/>
      <c r="KNR22" s="65"/>
      <c r="KNS22" s="65"/>
      <c r="KNT22" s="65"/>
      <c r="KNU22" s="65"/>
      <c r="KNV22" s="65"/>
      <c r="KNW22" s="65"/>
      <c r="KNX22" s="65"/>
      <c r="KNY22" s="65"/>
      <c r="KNZ22" s="65"/>
      <c r="KOA22" s="65"/>
      <c r="KOB22" s="65"/>
      <c r="KOC22" s="65"/>
      <c r="KOD22" s="65"/>
      <c r="KOE22" s="65"/>
      <c r="KOF22" s="65"/>
      <c r="KOG22" s="65"/>
      <c r="KOH22" s="65"/>
      <c r="KOI22" s="65"/>
      <c r="KOJ22" s="65"/>
      <c r="KOK22" s="65"/>
      <c r="KOL22" s="65"/>
      <c r="KOM22" s="65"/>
      <c r="KON22" s="65"/>
      <c r="KOO22" s="65"/>
      <c r="KOP22" s="65"/>
      <c r="KOQ22" s="65"/>
      <c r="KOR22" s="65"/>
      <c r="KOS22" s="65"/>
      <c r="KOT22" s="65"/>
      <c r="KOU22" s="65"/>
      <c r="KOV22" s="65"/>
      <c r="KOW22" s="65"/>
      <c r="KOX22" s="65"/>
      <c r="KOY22" s="65"/>
      <c r="KOZ22" s="65"/>
      <c r="KPA22" s="65"/>
      <c r="KPB22" s="65"/>
      <c r="KPC22" s="65"/>
      <c r="KPD22" s="65"/>
      <c r="KPE22" s="65"/>
      <c r="KPF22" s="65"/>
      <c r="KPG22" s="65"/>
      <c r="KPH22" s="65"/>
      <c r="KPI22" s="65"/>
      <c r="KPJ22" s="65"/>
      <c r="KPK22" s="65"/>
      <c r="KPL22" s="65"/>
      <c r="KPM22" s="65"/>
      <c r="KPN22" s="65"/>
      <c r="KPO22" s="65"/>
      <c r="KPP22" s="65"/>
      <c r="KPQ22" s="65"/>
      <c r="KPR22" s="65"/>
      <c r="KPS22" s="65"/>
      <c r="KPT22" s="65"/>
      <c r="KPU22" s="65"/>
      <c r="KPV22" s="65"/>
      <c r="KPW22" s="65"/>
      <c r="KPX22" s="65"/>
      <c r="KPY22" s="65"/>
      <c r="KPZ22" s="65"/>
      <c r="KQA22" s="65"/>
      <c r="KQB22" s="65"/>
      <c r="KQC22" s="65"/>
      <c r="KQD22" s="65"/>
      <c r="KQE22" s="65"/>
      <c r="KQF22" s="65"/>
      <c r="KQG22" s="65"/>
      <c r="KQH22" s="65"/>
      <c r="KQI22" s="65"/>
      <c r="KQJ22" s="65"/>
      <c r="KQK22" s="65"/>
      <c r="KQL22" s="65"/>
      <c r="KQM22" s="65"/>
      <c r="KQN22" s="65"/>
      <c r="KQO22" s="65"/>
      <c r="KQP22" s="65"/>
      <c r="KQQ22" s="65"/>
      <c r="KQR22" s="65"/>
      <c r="KQS22" s="65"/>
      <c r="KQT22" s="65"/>
      <c r="KQU22" s="65"/>
      <c r="KQV22" s="65"/>
      <c r="KQW22" s="65"/>
      <c r="KQX22" s="65"/>
      <c r="KQY22" s="65"/>
      <c r="KQZ22" s="65"/>
      <c r="KRA22" s="65"/>
      <c r="KRB22" s="65"/>
      <c r="KRC22" s="65"/>
      <c r="KRD22" s="65"/>
      <c r="KRE22" s="65"/>
      <c r="KRF22" s="65"/>
      <c r="KRG22" s="65"/>
      <c r="KRH22" s="65"/>
      <c r="KRI22" s="65"/>
      <c r="KRJ22" s="65"/>
      <c r="KRK22" s="65"/>
      <c r="KRL22" s="65"/>
      <c r="KRM22" s="65"/>
      <c r="KRN22" s="65"/>
      <c r="KRO22" s="65"/>
      <c r="KRP22" s="65"/>
      <c r="KRQ22" s="65"/>
      <c r="KRR22" s="65"/>
      <c r="KRS22" s="65"/>
      <c r="KRT22" s="65"/>
      <c r="KRU22" s="65"/>
      <c r="KRV22" s="65"/>
      <c r="KRW22" s="65"/>
      <c r="KRX22" s="65"/>
      <c r="KRY22" s="65"/>
      <c r="KRZ22" s="65"/>
      <c r="KSA22" s="65"/>
      <c r="KSB22" s="65"/>
      <c r="KSC22" s="65"/>
      <c r="KSD22" s="65"/>
      <c r="KSE22" s="65"/>
      <c r="KSF22" s="65"/>
      <c r="KSG22" s="65"/>
      <c r="KSH22" s="65"/>
      <c r="KSI22" s="65"/>
      <c r="KSJ22" s="65"/>
      <c r="KSK22" s="65"/>
      <c r="KSL22" s="65"/>
      <c r="KSM22" s="65"/>
      <c r="KSN22" s="65"/>
      <c r="KSO22" s="65"/>
      <c r="KSP22" s="65"/>
      <c r="KSQ22" s="65"/>
      <c r="KSR22" s="65"/>
      <c r="KSS22" s="65"/>
      <c r="KST22" s="65"/>
      <c r="KSU22" s="65"/>
      <c r="KSV22" s="65"/>
      <c r="KSW22" s="65"/>
      <c r="KSX22" s="65"/>
      <c r="KSY22" s="65"/>
      <c r="KSZ22" s="65"/>
      <c r="KTA22" s="65"/>
      <c r="KTB22" s="65"/>
      <c r="KTC22" s="65"/>
      <c r="KTD22" s="65"/>
      <c r="KTE22" s="65"/>
      <c r="KTF22" s="65"/>
      <c r="KTG22" s="65"/>
      <c r="KTH22" s="65"/>
      <c r="KTI22" s="65"/>
      <c r="KTJ22" s="65"/>
      <c r="KTK22" s="65"/>
      <c r="KTL22" s="65"/>
      <c r="KTM22" s="65"/>
      <c r="KTN22" s="65"/>
      <c r="KTO22" s="65"/>
      <c r="KTP22" s="65"/>
      <c r="KTQ22" s="65"/>
      <c r="KTR22" s="65"/>
      <c r="KTS22" s="65"/>
      <c r="KTT22" s="65"/>
      <c r="KTU22" s="65"/>
      <c r="KTV22" s="65"/>
      <c r="KTW22" s="65"/>
      <c r="KTX22" s="65"/>
      <c r="KTY22" s="65"/>
      <c r="KTZ22" s="65"/>
      <c r="KUA22" s="65"/>
      <c r="KUB22" s="65"/>
      <c r="KUC22" s="65"/>
      <c r="KUD22" s="65"/>
      <c r="KUE22" s="65"/>
      <c r="KUF22" s="65"/>
      <c r="KUG22" s="65"/>
      <c r="KUH22" s="65"/>
      <c r="KUI22" s="65"/>
      <c r="KUJ22" s="65"/>
      <c r="KUK22" s="65"/>
      <c r="KUL22" s="65"/>
      <c r="KUM22" s="65"/>
      <c r="KUN22" s="65"/>
      <c r="KUO22" s="65"/>
      <c r="KUP22" s="65"/>
      <c r="KUQ22" s="65"/>
      <c r="KUR22" s="65"/>
      <c r="KUS22" s="65"/>
      <c r="KUT22" s="65"/>
      <c r="KUU22" s="65"/>
      <c r="KUV22" s="65"/>
      <c r="KUW22" s="65"/>
      <c r="KUX22" s="65"/>
      <c r="KUY22" s="65"/>
      <c r="KUZ22" s="65"/>
      <c r="KVA22" s="65"/>
      <c r="KVB22" s="65"/>
      <c r="KVC22" s="65"/>
      <c r="KVD22" s="65"/>
      <c r="KVE22" s="65"/>
      <c r="KVF22" s="65"/>
      <c r="KVG22" s="65"/>
      <c r="KVH22" s="65"/>
      <c r="KVI22" s="65"/>
      <c r="KVJ22" s="65"/>
      <c r="KVK22" s="65"/>
      <c r="KVL22" s="65"/>
      <c r="KVM22" s="65"/>
      <c r="KVN22" s="65"/>
      <c r="KVO22" s="65"/>
      <c r="KVP22" s="65"/>
      <c r="KVQ22" s="65"/>
      <c r="KVR22" s="65"/>
      <c r="KVS22" s="65"/>
      <c r="KVT22" s="65"/>
      <c r="KVU22" s="65"/>
      <c r="KVV22" s="65"/>
      <c r="KVW22" s="65"/>
      <c r="KVX22" s="65"/>
      <c r="KVY22" s="65"/>
      <c r="KVZ22" s="65"/>
      <c r="KWA22" s="65"/>
      <c r="KWB22" s="65"/>
      <c r="KWC22" s="65"/>
      <c r="KWD22" s="65"/>
      <c r="KWE22" s="65"/>
      <c r="KWF22" s="65"/>
      <c r="KWG22" s="65"/>
      <c r="KWH22" s="65"/>
      <c r="KWI22" s="65"/>
      <c r="KWJ22" s="65"/>
      <c r="KWK22" s="65"/>
      <c r="KWL22" s="65"/>
      <c r="KWM22" s="65"/>
      <c r="KWN22" s="65"/>
      <c r="KWO22" s="65"/>
      <c r="KWP22" s="65"/>
      <c r="KWQ22" s="65"/>
      <c r="KWR22" s="65"/>
      <c r="KWS22" s="65"/>
      <c r="KWT22" s="65"/>
      <c r="KWU22" s="65"/>
      <c r="KWV22" s="65"/>
      <c r="KWW22" s="65"/>
      <c r="KWX22" s="65"/>
      <c r="KWY22" s="65"/>
      <c r="KWZ22" s="65"/>
      <c r="KXA22" s="65"/>
      <c r="KXB22" s="65"/>
      <c r="KXC22" s="65"/>
      <c r="KXD22" s="65"/>
      <c r="KXE22" s="65"/>
      <c r="KXF22" s="65"/>
      <c r="KXG22" s="65"/>
      <c r="KXH22" s="65"/>
      <c r="KXI22" s="65"/>
      <c r="KXJ22" s="65"/>
      <c r="KXK22" s="65"/>
      <c r="KXL22" s="65"/>
      <c r="KXM22" s="65"/>
      <c r="KXN22" s="65"/>
      <c r="KXO22" s="65"/>
      <c r="KXP22" s="65"/>
      <c r="KXQ22" s="65"/>
      <c r="KXR22" s="65"/>
      <c r="KXS22" s="65"/>
      <c r="KXT22" s="65"/>
      <c r="KXU22" s="65"/>
      <c r="KXV22" s="65"/>
      <c r="KXW22" s="65"/>
      <c r="KXX22" s="65"/>
      <c r="KXY22" s="65"/>
      <c r="KXZ22" s="65"/>
      <c r="KYA22" s="65"/>
      <c r="KYB22" s="65"/>
      <c r="KYC22" s="65"/>
      <c r="KYD22" s="65"/>
      <c r="KYE22" s="65"/>
      <c r="KYF22" s="65"/>
      <c r="KYG22" s="65"/>
      <c r="KYH22" s="65"/>
      <c r="KYI22" s="65"/>
      <c r="KYJ22" s="65"/>
      <c r="KYK22" s="65"/>
      <c r="KYL22" s="65"/>
      <c r="KYM22" s="65"/>
      <c r="KYN22" s="65"/>
      <c r="KYO22" s="65"/>
      <c r="KYP22" s="65"/>
      <c r="KYQ22" s="65"/>
      <c r="KYR22" s="65"/>
      <c r="KYS22" s="65"/>
      <c r="KYT22" s="65"/>
      <c r="KYU22" s="65"/>
      <c r="KYV22" s="65"/>
      <c r="KYW22" s="65"/>
      <c r="KYX22" s="65"/>
      <c r="KYY22" s="65"/>
      <c r="KYZ22" s="65"/>
      <c r="KZA22" s="65"/>
      <c r="KZB22" s="65"/>
      <c r="KZC22" s="65"/>
      <c r="KZD22" s="65"/>
      <c r="KZE22" s="65"/>
      <c r="KZF22" s="65"/>
      <c r="KZG22" s="65"/>
      <c r="KZH22" s="65"/>
      <c r="KZI22" s="65"/>
      <c r="KZJ22" s="65"/>
      <c r="KZK22" s="65"/>
      <c r="KZL22" s="65"/>
      <c r="KZM22" s="65"/>
      <c r="KZN22" s="65"/>
      <c r="KZO22" s="65"/>
      <c r="KZP22" s="65"/>
      <c r="KZQ22" s="65"/>
      <c r="KZR22" s="65"/>
      <c r="KZS22" s="65"/>
      <c r="KZT22" s="65"/>
      <c r="KZU22" s="65"/>
      <c r="KZV22" s="65"/>
      <c r="KZW22" s="65"/>
      <c r="KZX22" s="65"/>
      <c r="KZY22" s="65"/>
      <c r="KZZ22" s="65"/>
      <c r="LAA22" s="65"/>
      <c r="LAB22" s="65"/>
      <c r="LAC22" s="65"/>
      <c r="LAD22" s="65"/>
      <c r="LAE22" s="65"/>
      <c r="LAF22" s="65"/>
      <c r="LAG22" s="65"/>
      <c r="LAH22" s="65"/>
      <c r="LAI22" s="65"/>
      <c r="LAJ22" s="65"/>
      <c r="LAK22" s="65"/>
      <c r="LAL22" s="65"/>
      <c r="LAM22" s="65"/>
      <c r="LAN22" s="65"/>
      <c r="LAO22" s="65"/>
      <c r="LAP22" s="65"/>
      <c r="LAQ22" s="65"/>
      <c r="LAR22" s="65"/>
      <c r="LAS22" s="65"/>
      <c r="LAT22" s="65"/>
      <c r="LAU22" s="65"/>
      <c r="LAV22" s="65"/>
      <c r="LAW22" s="65"/>
      <c r="LAX22" s="65"/>
      <c r="LAY22" s="65"/>
      <c r="LAZ22" s="65"/>
      <c r="LBA22" s="65"/>
      <c r="LBB22" s="65"/>
      <c r="LBC22" s="65"/>
      <c r="LBD22" s="65"/>
      <c r="LBE22" s="65"/>
      <c r="LBF22" s="65"/>
      <c r="LBG22" s="65"/>
      <c r="LBH22" s="65"/>
      <c r="LBI22" s="65"/>
      <c r="LBJ22" s="65"/>
      <c r="LBK22" s="65"/>
      <c r="LBL22" s="65"/>
      <c r="LBM22" s="65"/>
      <c r="LBN22" s="65"/>
      <c r="LBO22" s="65"/>
      <c r="LBP22" s="65"/>
      <c r="LBQ22" s="65"/>
      <c r="LBR22" s="65"/>
      <c r="LBS22" s="65"/>
      <c r="LBT22" s="65"/>
      <c r="LBU22" s="65"/>
      <c r="LBV22" s="65"/>
      <c r="LBW22" s="65"/>
      <c r="LBX22" s="65"/>
      <c r="LBY22" s="65"/>
      <c r="LBZ22" s="65"/>
      <c r="LCA22" s="65"/>
      <c r="LCB22" s="65"/>
      <c r="LCC22" s="65"/>
      <c r="LCD22" s="65"/>
      <c r="LCE22" s="65"/>
      <c r="LCF22" s="65"/>
      <c r="LCG22" s="65"/>
      <c r="LCH22" s="65"/>
      <c r="LCI22" s="65"/>
      <c r="LCJ22" s="65"/>
      <c r="LCK22" s="65"/>
      <c r="LCL22" s="65"/>
      <c r="LCM22" s="65"/>
      <c r="LCN22" s="65"/>
      <c r="LCO22" s="65"/>
      <c r="LCP22" s="65"/>
      <c r="LCQ22" s="65"/>
      <c r="LCR22" s="65"/>
      <c r="LCS22" s="65"/>
      <c r="LCT22" s="65"/>
      <c r="LCU22" s="65"/>
      <c r="LCV22" s="65"/>
      <c r="LCW22" s="65"/>
      <c r="LCX22" s="65"/>
      <c r="LCY22" s="65"/>
      <c r="LCZ22" s="65"/>
      <c r="LDA22" s="65"/>
      <c r="LDB22" s="65"/>
      <c r="LDC22" s="65"/>
      <c r="LDD22" s="65"/>
      <c r="LDE22" s="65"/>
      <c r="LDF22" s="65"/>
      <c r="LDG22" s="65"/>
      <c r="LDH22" s="65"/>
      <c r="LDI22" s="65"/>
      <c r="LDJ22" s="65"/>
      <c r="LDK22" s="65"/>
      <c r="LDL22" s="65"/>
      <c r="LDM22" s="65"/>
      <c r="LDN22" s="65"/>
      <c r="LDO22" s="65"/>
      <c r="LDP22" s="65"/>
      <c r="LDQ22" s="65"/>
      <c r="LDR22" s="65"/>
      <c r="LDS22" s="65"/>
      <c r="LDT22" s="65"/>
      <c r="LDU22" s="65"/>
      <c r="LDV22" s="65"/>
      <c r="LDW22" s="65"/>
      <c r="LDX22" s="65"/>
      <c r="LDY22" s="65"/>
      <c r="LDZ22" s="65"/>
      <c r="LEA22" s="65"/>
      <c r="LEB22" s="65"/>
      <c r="LEC22" s="65"/>
      <c r="LED22" s="65"/>
      <c r="LEE22" s="65"/>
      <c r="LEF22" s="65"/>
      <c r="LEG22" s="65"/>
      <c r="LEH22" s="65"/>
      <c r="LEI22" s="65"/>
      <c r="LEJ22" s="65"/>
      <c r="LEK22" s="65"/>
      <c r="LEL22" s="65"/>
      <c r="LEM22" s="65"/>
      <c r="LEN22" s="65"/>
      <c r="LEO22" s="65"/>
      <c r="LEP22" s="65"/>
      <c r="LEQ22" s="65"/>
      <c r="LER22" s="65"/>
      <c r="LES22" s="65"/>
      <c r="LET22" s="65"/>
      <c r="LEU22" s="65"/>
      <c r="LEV22" s="65"/>
      <c r="LEW22" s="65"/>
      <c r="LEX22" s="65"/>
      <c r="LEY22" s="65"/>
      <c r="LEZ22" s="65"/>
      <c r="LFA22" s="65"/>
      <c r="LFB22" s="65"/>
      <c r="LFC22" s="65"/>
      <c r="LFD22" s="65"/>
      <c r="LFE22" s="65"/>
      <c r="LFF22" s="65"/>
      <c r="LFG22" s="65"/>
      <c r="LFH22" s="65"/>
      <c r="LFI22" s="65"/>
      <c r="LFJ22" s="65"/>
      <c r="LFK22" s="65"/>
      <c r="LFL22" s="65"/>
      <c r="LFM22" s="65"/>
      <c r="LFN22" s="65"/>
      <c r="LFO22" s="65"/>
      <c r="LFP22" s="65"/>
      <c r="LFQ22" s="65"/>
      <c r="LFR22" s="65"/>
      <c r="LFS22" s="65"/>
      <c r="LFT22" s="65"/>
      <c r="LFU22" s="65"/>
      <c r="LFV22" s="65"/>
      <c r="LFW22" s="65"/>
      <c r="LFX22" s="65"/>
      <c r="LFY22" s="65"/>
      <c r="LFZ22" s="65"/>
      <c r="LGA22" s="65"/>
      <c r="LGB22" s="65"/>
      <c r="LGC22" s="65"/>
      <c r="LGD22" s="65"/>
      <c r="LGE22" s="65"/>
      <c r="LGF22" s="65"/>
      <c r="LGG22" s="65"/>
      <c r="LGH22" s="65"/>
      <c r="LGI22" s="65"/>
      <c r="LGJ22" s="65"/>
      <c r="LGK22" s="65"/>
      <c r="LGL22" s="65"/>
      <c r="LGM22" s="65"/>
      <c r="LGN22" s="65"/>
      <c r="LGO22" s="65"/>
      <c r="LGP22" s="65"/>
      <c r="LGQ22" s="65"/>
      <c r="LGR22" s="65"/>
      <c r="LGS22" s="65"/>
      <c r="LGT22" s="65"/>
      <c r="LGU22" s="65"/>
      <c r="LGV22" s="65"/>
      <c r="LGW22" s="65"/>
      <c r="LGX22" s="65"/>
      <c r="LGY22" s="65"/>
      <c r="LGZ22" s="65"/>
      <c r="LHA22" s="65"/>
      <c r="LHB22" s="65"/>
      <c r="LHC22" s="65"/>
      <c r="LHD22" s="65"/>
      <c r="LHE22" s="65"/>
      <c r="LHF22" s="65"/>
      <c r="LHG22" s="65"/>
      <c r="LHH22" s="65"/>
      <c r="LHI22" s="65"/>
      <c r="LHJ22" s="65"/>
      <c r="LHK22" s="65"/>
      <c r="LHL22" s="65"/>
      <c r="LHM22" s="65"/>
      <c r="LHN22" s="65"/>
      <c r="LHO22" s="65"/>
      <c r="LHP22" s="65"/>
      <c r="LHQ22" s="65"/>
      <c r="LHR22" s="65"/>
      <c r="LHS22" s="65"/>
      <c r="LHT22" s="65"/>
      <c r="LHU22" s="65"/>
      <c r="LHV22" s="65"/>
      <c r="LHW22" s="65"/>
      <c r="LHX22" s="65"/>
      <c r="LHY22" s="65"/>
      <c r="LHZ22" s="65"/>
      <c r="LIA22" s="65"/>
      <c r="LIB22" s="65"/>
      <c r="LIC22" s="65"/>
      <c r="LID22" s="65"/>
      <c r="LIE22" s="65"/>
      <c r="LIF22" s="65"/>
      <c r="LIG22" s="65"/>
      <c r="LIH22" s="65"/>
      <c r="LII22" s="65"/>
      <c r="LIJ22" s="65"/>
      <c r="LIK22" s="65"/>
      <c r="LIL22" s="65"/>
      <c r="LIM22" s="65"/>
      <c r="LIN22" s="65"/>
      <c r="LIO22" s="65"/>
      <c r="LIP22" s="65"/>
      <c r="LIQ22" s="65"/>
      <c r="LIR22" s="65"/>
      <c r="LIS22" s="65"/>
      <c r="LIT22" s="65"/>
      <c r="LIU22" s="65"/>
      <c r="LIV22" s="65"/>
      <c r="LIW22" s="65"/>
      <c r="LIX22" s="65"/>
      <c r="LIY22" s="65"/>
      <c r="LIZ22" s="65"/>
      <c r="LJA22" s="65"/>
      <c r="LJB22" s="65"/>
      <c r="LJC22" s="65"/>
      <c r="LJD22" s="65"/>
      <c r="LJE22" s="65"/>
      <c r="LJF22" s="65"/>
      <c r="LJG22" s="65"/>
      <c r="LJH22" s="65"/>
      <c r="LJI22" s="65"/>
      <c r="LJJ22" s="65"/>
      <c r="LJK22" s="65"/>
      <c r="LJL22" s="65"/>
      <c r="LJM22" s="65"/>
      <c r="LJN22" s="65"/>
      <c r="LJO22" s="65"/>
      <c r="LJP22" s="65"/>
      <c r="LJQ22" s="65"/>
      <c r="LJR22" s="65"/>
      <c r="LJS22" s="65"/>
      <c r="LJT22" s="65"/>
      <c r="LJU22" s="65"/>
      <c r="LJV22" s="65"/>
      <c r="LJW22" s="65"/>
      <c r="LJX22" s="65"/>
      <c r="LJY22" s="65"/>
      <c r="LJZ22" s="65"/>
      <c r="LKA22" s="65"/>
      <c r="LKB22" s="65"/>
      <c r="LKC22" s="65"/>
      <c r="LKD22" s="65"/>
      <c r="LKE22" s="65"/>
      <c r="LKF22" s="65"/>
      <c r="LKG22" s="65"/>
      <c r="LKH22" s="65"/>
      <c r="LKI22" s="65"/>
      <c r="LKJ22" s="65"/>
      <c r="LKK22" s="65"/>
      <c r="LKL22" s="65"/>
      <c r="LKM22" s="65"/>
      <c r="LKN22" s="65"/>
      <c r="LKO22" s="65"/>
      <c r="LKP22" s="65"/>
      <c r="LKQ22" s="65"/>
      <c r="LKR22" s="65"/>
      <c r="LKS22" s="65"/>
      <c r="LKT22" s="65"/>
      <c r="LKU22" s="65"/>
      <c r="LKV22" s="65"/>
      <c r="LKW22" s="65"/>
      <c r="LKX22" s="65"/>
      <c r="LKY22" s="65"/>
      <c r="LKZ22" s="65"/>
      <c r="LLA22" s="65"/>
      <c r="LLB22" s="65"/>
      <c r="LLC22" s="65"/>
      <c r="LLD22" s="65"/>
      <c r="LLE22" s="65"/>
      <c r="LLF22" s="65"/>
      <c r="LLG22" s="65"/>
      <c r="LLH22" s="65"/>
      <c r="LLI22" s="65"/>
      <c r="LLJ22" s="65"/>
      <c r="LLK22" s="65"/>
      <c r="LLL22" s="65"/>
      <c r="LLM22" s="65"/>
      <c r="LLN22" s="65"/>
      <c r="LLO22" s="65"/>
      <c r="LLP22" s="65"/>
      <c r="LLQ22" s="65"/>
      <c r="LLR22" s="65"/>
      <c r="LLS22" s="65"/>
      <c r="LLT22" s="65"/>
      <c r="LLU22" s="65"/>
      <c r="LLV22" s="65"/>
      <c r="LLW22" s="65"/>
      <c r="LLX22" s="65"/>
      <c r="LLY22" s="65"/>
      <c r="LLZ22" s="65"/>
      <c r="LMA22" s="65"/>
      <c r="LMB22" s="65"/>
      <c r="LMC22" s="65"/>
      <c r="LMD22" s="65"/>
      <c r="LME22" s="65"/>
      <c r="LMF22" s="65"/>
      <c r="LMG22" s="65"/>
      <c r="LMH22" s="65"/>
      <c r="LMI22" s="65"/>
      <c r="LMJ22" s="65"/>
      <c r="LMK22" s="65"/>
      <c r="LML22" s="65"/>
      <c r="LMM22" s="65"/>
      <c r="LMN22" s="65"/>
      <c r="LMO22" s="65"/>
      <c r="LMP22" s="65"/>
      <c r="LMQ22" s="65"/>
      <c r="LMR22" s="65"/>
      <c r="LMS22" s="65"/>
      <c r="LMT22" s="65"/>
      <c r="LMU22" s="65"/>
      <c r="LMV22" s="65"/>
      <c r="LMW22" s="65"/>
      <c r="LMX22" s="65"/>
      <c r="LMY22" s="65"/>
      <c r="LMZ22" s="65"/>
      <c r="LNA22" s="65"/>
      <c r="LNB22" s="65"/>
      <c r="LNC22" s="65"/>
      <c r="LND22" s="65"/>
      <c r="LNE22" s="65"/>
      <c r="LNF22" s="65"/>
      <c r="LNG22" s="65"/>
      <c r="LNH22" s="65"/>
      <c r="LNI22" s="65"/>
      <c r="LNJ22" s="65"/>
      <c r="LNK22" s="65"/>
      <c r="LNL22" s="65"/>
      <c r="LNM22" s="65"/>
      <c r="LNN22" s="65"/>
      <c r="LNO22" s="65"/>
      <c r="LNP22" s="65"/>
      <c r="LNQ22" s="65"/>
      <c r="LNR22" s="65"/>
      <c r="LNS22" s="65"/>
      <c r="LNT22" s="65"/>
      <c r="LNU22" s="65"/>
      <c r="LNV22" s="65"/>
      <c r="LNW22" s="65"/>
      <c r="LNX22" s="65"/>
      <c r="LNY22" s="65"/>
      <c r="LNZ22" s="65"/>
      <c r="LOA22" s="65"/>
      <c r="LOB22" s="65"/>
      <c r="LOC22" s="65"/>
      <c r="LOD22" s="65"/>
      <c r="LOE22" s="65"/>
      <c r="LOF22" s="65"/>
      <c r="LOG22" s="65"/>
      <c r="LOH22" s="65"/>
      <c r="LOI22" s="65"/>
      <c r="LOJ22" s="65"/>
      <c r="LOK22" s="65"/>
      <c r="LOL22" s="65"/>
      <c r="LOM22" s="65"/>
      <c r="LON22" s="65"/>
      <c r="LOO22" s="65"/>
      <c r="LOP22" s="65"/>
      <c r="LOQ22" s="65"/>
      <c r="LOR22" s="65"/>
      <c r="LOS22" s="65"/>
      <c r="LOT22" s="65"/>
      <c r="LOU22" s="65"/>
      <c r="LOV22" s="65"/>
      <c r="LOW22" s="65"/>
      <c r="LOX22" s="65"/>
      <c r="LOY22" s="65"/>
      <c r="LOZ22" s="65"/>
      <c r="LPA22" s="65"/>
      <c r="LPB22" s="65"/>
      <c r="LPC22" s="65"/>
      <c r="LPD22" s="65"/>
      <c r="LPE22" s="65"/>
      <c r="LPF22" s="65"/>
      <c r="LPG22" s="65"/>
      <c r="LPH22" s="65"/>
      <c r="LPI22" s="65"/>
      <c r="LPJ22" s="65"/>
      <c r="LPK22" s="65"/>
      <c r="LPL22" s="65"/>
      <c r="LPM22" s="65"/>
      <c r="LPN22" s="65"/>
      <c r="LPO22" s="65"/>
      <c r="LPP22" s="65"/>
      <c r="LPQ22" s="65"/>
      <c r="LPR22" s="65"/>
      <c r="LPS22" s="65"/>
      <c r="LPT22" s="65"/>
      <c r="LPU22" s="65"/>
      <c r="LPV22" s="65"/>
      <c r="LPW22" s="65"/>
      <c r="LPX22" s="65"/>
      <c r="LPY22" s="65"/>
      <c r="LPZ22" s="65"/>
      <c r="LQA22" s="65"/>
      <c r="LQB22" s="65"/>
      <c r="LQC22" s="65"/>
      <c r="LQD22" s="65"/>
      <c r="LQE22" s="65"/>
      <c r="LQF22" s="65"/>
      <c r="LQG22" s="65"/>
      <c r="LQH22" s="65"/>
      <c r="LQI22" s="65"/>
      <c r="LQJ22" s="65"/>
      <c r="LQK22" s="65"/>
      <c r="LQL22" s="65"/>
      <c r="LQM22" s="65"/>
      <c r="LQN22" s="65"/>
      <c r="LQO22" s="65"/>
      <c r="LQP22" s="65"/>
      <c r="LQQ22" s="65"/>
      <c r="LQR22" s="65"/>
      <c r="LQS22" s="65"/>
      <c r="LQT22" s="65"/>
      <c r="LQU22" s="65"/>
      <c r="LQV22" s="65"/>
      <c r="LQW22" s="65"/>
      <c r="LQX22" s="65"/>
      <c r="LQY22" s="65"/>
      <c r="LQZ22" s="65"/>
      <c r="LRA22" s="65"/>
      <c r="LRB22" s="65"/>
      <c r="LRC22" s="65"/>
      <c r="LRD22" s="65"/>
      <c r="LRE22" s="65"/>
      <c r="LRF22" s="65"/>
      <c r="LRG22" s="65"/>
      <c r="LRH22" s="65"/>
      <c r="LRI22" s="65"/>
      <c r="LRJ22" s="65"/>
      <c r="LRK22" s="65"/>
      <c r="LRL22" s="65"/>
      <c r="LRM22" s="65"/>
      <c r="LRN22" s="65"/>
      <c r="LRO22" s="65"/>
      <c r="LRP22" s="65"/>
      <c r="LRQ22" s="65"/>
      <c r="LRR22" s="65"/>
      <c r="LRS22" s="65"/>
      <c r="LRT22" s="65"/>
      <c r="LRU22" s="65"/>
      <c r="LRV22" s="65"/>
      <c r="LRW22" s="65"/>
      <c r="LRX22" s="65"/>
      <c r="LRY22" s="65"/>
      <c r="LRZ22" s="65"/>
      <c r="LSA22" s="65"/>
      <c r="LSB22" s="65"/>
      <c r="LSC22" s="65"/>
      <c r="LSD22" s="65"/>
      <c r="LSE22" s="65"/>
      <c r="LSF22" s="65"/>
      <c r="LSG22" s="65"/>
      <c r="LSH22" s="65"/>
      <c r="LSI22" s="65"/>
      <c r="LSJ22" s="65"/>
      <c r="LSK22" s="65"/>
      <c r="LSL22" s="65"/>
      <c r="LSM22" s="65"/>
      <c r="LSN22" s="65"/>
      <c r="LSO22" s="65"/>
      <c r="LSP22" s="65"/>
      <c r="LSQ22" s="65"/>
      <c r="LSR22" s="65"/>
      <c r="LSS22" s="65"/>
      <c r="LST22" s="65"/>
      <c r="LSU22" s="65"/>
      <c r="LSV22" s="65"/>
      <c r="LSW22" s="65"/>
      <c r="LSX22" s="65"/>
      <c r="LSY22" s="65"/>
      <c r="LSZ22" s="65"/>
      <c r="LTA22" s="65"/>
      <c r="LTB22" s="65"/>
      <c r="LTC22" s="65"/>
      <c r="LTD22" s="65"/>
      <c r="LTE22" s="65"/>
      <c r="LTF22" s="65"/>
      <c r="LTG22" s="65"/>
      <c r="LTH22" s="65"/>
      <c r="LTI22" s="65"/>
      <c r="LTJ22" s="65"/>
      <c r="LTK22" s="65"/>
      <c r="LTL22" s="65"/>
      <c r="LTM22" s="65"/>
      <c r="LTN22" s="65"/>
      <c r="LTO22" s="65"/>
      <c r="LTP22" s="65"/>
      <c r="LTQ22" s="65"/>
      <c r="LTR22" s="65"/>
      <c r="LTS22" s="65"/>
      <c r="LTT22" s="65"/>
      <c r="LTU22" s="65"/>
      <c r="LTV22" s="65"/>
      <c r="LTW22" s="65"/>
      <c r="LTX22" s="65"/>
      <c r="LTY22" s="65"/>
      <c r="LTZ22" s="65"/>
      <c r="LUA22" s="65"/>
      <c r="LUB22" s="65"/>
      <c r="LUC22" s="65"/>
      <c r="LUD22" s="65"/>
      <c r="LUE22" s="65"/>
      <c r="LUF22" s="65"/>
      <c r="LUG22" s="65"/>
      <c r="LUH22" s="65"/>
      <c r="LUI22" s="65"/>
      <c r="LUJ22" s="65"/>
      <c r="LUK22" s="65"/>
      <c r="LUL22" s="65"/>
      <c r="LUM22" s="65"/>
      <c r="LUN22" s="65"/>
      <c r="LUO22" s="65"/>
      <c r="LUP22" s="65"/>
      <c r="LUQ22" s="65"/>
      <c r="LUR22" s="65"/>
      <c r="LUS22" s="65"/>
      <c r="LUT22" s="65"/>
      <c r="LUU22" s="65"/>
      <c r="LUV22" s="65"/>
      <c r="LUW22" s="65"/>
      <c r="LUX22" s="65"/>
      <c r="LUY22" s="65"/>
      <c r="LUZ22" s="65"/>
      <c r="LVA22" s="65"/>
      <c r="LVB22" s="65"/>
      <c r="LVC22" s="65"/>
      <c r="LVD22" s="65"/>
      <c r="LVE22" s="65"/>
      <c r="LVF22" s="65"/>
      <c r="LVG22" s="65"/>
      <c r="LVH22" s="65"/>
      <c r="LVI22" s="65"/>
      <c r="LVJ22" s="65"/>
      <c r="LVK22" s="65"/>
      <c r="LVL22" s="65"/>
      <c r="LVM22" s="65"/>
      <c r="LVN22" s="65"/>
      <c r="LVO22" s="65"/>
      <c r="LVP22" s="65"/>
      <c r="LVQ22" s="65"/>
      <c r="LVR22" s="65"/>
      <c r="LVS22" s="65"/>
      <c r="LVT22" s="65"/>
      <c r="LVU22" s="65"/>
      <c r="LVV22" s="65"/>
      <c r="LVW22" s="65"/>
      <c r="LVX22" s="65"/>
      <c r="LVY22" s="65"/>
      <c r="LVZ22" s="65"/>
      <c r="LWA22" s="65"/>
      <c r="LWB22" s="65"/>
      <c r="LWC22" s="65"/>
      <c r="LWD22" s="65"/>
      <c r="LWE22" s="65"/>
      <c r="LWF22" s="65"/>
      <c r="LWG22" s="65"/>
      <c r="LWH22" s="65"/>
      <c r="LWI22" s="65"/>
      <c r="LWJ22" s="65"/>
      <c r="LWK22" s="65"/>
      <c r="LWL22" s="65"/>
      <c r="LWM22" s="65"/>
      <c r="LWN22" s="65"/>
      <c r="LWO22" s="65"/>
      <c r="LWP22" s="65"/>
      <c r="LWQ22" s="65"/>
      <c r="LWR22" s="65"/>
      <c r="LWS22" s="65"/>
      <c r="LWT22" s="65"/>
      <c r="LWU22" s="65"/>
      <c r="LWV22" s="65"/>
      <c r="LWW22" s="65"/>
      <c r="LWX22" s="65"/>
      <c r="LWY22" s="65"/>
      <c r="LWZ22" s="65"/>
      <c r="LXA22" s="65"/>
      <c r="LXB22" s="65"/>
      <c r="LXC22" s="65"/>
      <c r="LXD22" s="65"/>
      <c r="LXE22" s="65"/>
      <c r="LXF22" s="65"/>
      <c r="LXG22" s="65"/>
      <c r="LXH22" s="65"/>
      <c r="LXI22" s="65"/>
      <c r="LXJ22" s="65"/>
      <c r="LXK22" s="65"/>
      <c r="LXL22" s="65"/>
      <c r="LXM22" s="65"/>
      <c r="LXN22" s="65"/>
      <c r="LXO22" s="65"/>
      <c r="LXP22" s="65"/>
      <c r="LXQ22" s="65"/>
      <c r="LXR22" s="65"/>
      <c r="LXS22" s="65"/>
      <c r="LXT22" s="65"/>
      <c r="LXU22" s="65"/>
      <c r="LXV22" s="65"/>
      <c r="LXW22" s="65"/>
      <c r="LXX22" s="65"/>
      <c r="LXY22" s="65"/>
      <c r="LXZ22" s="65"/>
      <c r="LYA22" s="65"/>
      <c r="LYB22" s="65"/>
      <c r="LYC22" s="65"/>
      <c r="LYD22" s="65"/>
      <c r="LYE22" s="65"/>
      <c r="LYF22" s="65"/>
      <c r="LYG22" s="65"/>
      <c r="LYH22" s="65"/>
      <c r="LYI22" s="65"/>
      <c r="LYJ22" s="65"/>
      <c r="LYK22" s="65"/>
      <c r="LYL22" s="65"/>
      <c r="LYM22" s="65"/>
      <c r="LYN22" s="65"/>
      <c r="LYO22" s="65"/>
      <c r="LYP22" s="65"/>
      <c r="LYQ22" s="65"/>
      <c r="LYR22" s="65"/>
      <c r="LYS22" s="65"/>
      <c r="LYT22" s="65"/>
      <c r="LYU22" s="65"/>
      <c r="LYV22" s="65"/>
      <c r="LYW22" s="65"/>
      <c r="LYX22" s="65"/>
      <c r="LYY22" s="65"/>
      <c r="LYZ22" s="65"/>
      <c r="LZA22" s="65"/>
      <c r="LZB22" s="65"/>
      <c r="LZC22" s="65"/>
      <c r="LZD22" s="65"/>
      <c r="LZE22" s="65"/>
      <c r="LZF22" s="65"/>
      <c r="LZG22" s="65"/>
      <c r="LZH22" s="65"/>
      <c r="LZI22" s="65"/>
      <c r="LZJ22" s="65"/>
      <c r="LZK22" s="65"/>
      <c r="LZL22" s="65"/>
      <c r="LZM22" s="65"/>
      <c r="LZN22" s="65"/>
      <c r="LZO22" s="65"/>
      <c r="LZP22" s="65"/>
      <c r="LZQ22" s="65"/>
      <c r="LZR22" s="65"/>
      <c r="LZS22" s="65"/>
      <c r="LZT22" s="65"/>
      <c r="LZU22" s="65"/>
      <c r="LZV22" s="65"/>
      <c r="LZW22" s="65"/>
      <c r="LZX22" s="65"/>
      <c r="LZY22" s="65"/>
      <c r="LZZ22" s="65"/>
      <c r="MAA22" s="65"/>
      <c r="MAB22" s="65"/>
      <c r="MAC22" s="65"/>
      <c r="MAD22" s="65"/>
      <c r="MAE22" s="65"/>
      <c r="MAF22" s="65"/>
      <c r="MAG22" s="65"/>
      <c r="MAH22" s="65"/>
      <c r="MAI22" s="65"/>
      <c r="MAJ22" s="65"/>
      <c r="MAK22" s="65"/>
      <c r="MAL22" s="65"/>
      <c r="MAM22" s="65"/>
      <c r="MAN22" s="65"/>
      <c r="MAO22" s="65"/>
      <c r="MAP22" s="65"/>
      <c r="MAQ22" s="65"/>
      <c r="MAR22" s="65"/>
      <c r="MAS22" s="65"/>
      <c r="MAT22" s="65"/>
      <c r="MAU22" s="65"/>
      <c r="MAV22" s="65"/>
      <c r="MAW22" s="65"/>
      <c r="MAX22" s="65"/>
      <c r="MAY22" s="65"/>
      <c r="MAZ22" s="65"/>
      <c r="MBA22" s="65"/>
      <c r="MBB22" s="65"/>
      <c r="MBC22" s="65"/>
      <c r="MBD22" s="65"/>
      <c r="MBE22" s="65"/>
      <c r="MBF22" s="65"/>
      <c r="MBG22" s="65"/>
      <c r="MBH22" s="65"/>
      <c r="MBI22" s="65"/>
      <c r="MBJ22" s="65"/>
      <c r="MBK22" s="65"/>
      <c r="MBL22" s="65"/>
      <c r="MBM22" s="65"/>
      <c r="MBN22" s="65"/>
      <c r="MBO22" s="65"/>
      <c r="MBP22" s="65"/>
      <c r="MBQ22" s="65"/>
      <c r="MBR22" s="65"/>
      <c r="MBS22" s="65"/>
      <c r="MBT22" s="65"/>
      <c r="MBU22" s="65"/>
      <c r="MBV22" s="65"/>
      <c r="MBW22" s="65"/>
      <c r="MBX22" s="65"/>
      <c r="MBY22" s="65"/>
      <c r="MBZ22" s="65"/>
      <c r="MCA22" s="65"/>
      <c r="MCB22" s="65"/>
      <c r="MCC22" s="65"/>
      <c r="MCD22" s="65"/>
      <c r="MCE22" s="65"/>
      <c r="MCF22" s="65"/>
      <c r="MCG22" s="65"/>
      <c r="MCH22" s="65"/>
      <c r="MCI22" s="65"/>
      <c r="MCJ22" s="65"/>
      <c r="MCK22" s="65"/>
      <c r="MCL22" s="65"/>
      <c r="MCM22" s="65"/>
      <c r="MCN22" s="65"/>
      <c r="MCO22" s="65"/>
      <c r="MCP22" s="65"/>
      <c r="MCQ22" s="65"/>
      <c r="MCR22" s="65"/>
      <c r="MCS22" s="65"/>
      <c r="MCT22" s="65"/>
      <c r="MCU22" s="65"/>
      <c r="MCV22" s="65"/>
      <c r="MCW22" s="65"/>
      <c r="MCX22" s="65"/>
      <c r="MCY22" s="65"/>
      <c r="MCZ22" s="65"/>
      <c r="MDA22" s="65"/>
      <c r="MDB22" s="65"/>
      <c r="MDC22" s="65"/>
      <c r="MDD22" s="65"/>
      <c r="MDE22" s="65"/>
      <c r="MDF22" s="65"/>
      <c r="MDG22" s="65"/>
      <c r="MDH22" s="65"/>
      <c r="MDI22" s="65"/>
      <c r="MDJ22" s="65"/>
      <c r="MDK22" s="65"/>
      <c r="MDL22" s="65"/>
      <c r="MDM22" s="65"/>
      <c r="MDN22" s="65"/>
      <c r="MDO22" s="65"/>
      <c r="MDP22" s="65"/>
      <c r="MDQ22" s="65"/>
      <c r="MDR22" s="65"/>
      <c r="MDS22" s="65"/>
      <c r="MDT22" s="65"/>
      <c r="MDU22" s="65"/>
      <c r="MDV22" s="65"/>
      <c r="MDW22" s="65"/>
      <c r="MDX22" s="65"/>
      <c r="MDY22" s="65"/>
      <c r="MDZ22" s="65"/>
      <c r="MEA22" s="65"/>
      <c r="MEB22" s="65"/>
      <c r="MEC22" s="65"/>
      <c r="MED22" s="65"/>
      <c r="MEE22" s="65"/>
      <c r="MEF22" s="65"/>
      <c r="MEG22" s="65"/>
      <c r="MEH22" s="65"/>
      <c r="MEI22" s="65"/>
      <c r="MEJ22" s="65"/>
      <c r="MEK22" s="65"/>
      <c r="MEL22" s="65"/>
      <c r="MEM22" s="65"/>
      <c r="MEN22" s="65"/>
      <c r="MEO22" s="65"/>
      <c r="MEP22" s="65"/>
      <c r="MEQ22" s="65"/>
      <c r="MER22" s="65"/>
      <c r="MES22" s="65"/>
      <c r="MET22" s="65"/>
      <c r="MEU22" s="65"/>
      <c r="MEV22" s="65"/>
      <c r="MEW22" s="65"/>
      <c r="MEX22" s="65"/>
      <c r="MEY22" s="65"/>
      <c r="MEZ22" s="65"/>
      <c r="MFA22" s="65"/>
      <c r="MFB22" s="65"/>
      <c r="MFC22" s="65"/>
      <c r="MFD22" s="65"/>
      <c r="MFE22" s="65"/>
      <c r="MFF22" s="65"/>
      <c r="MFG22" s="65"/>
      <c r="MFH22" s="65"/>
      <c r="MFI22" s="65"/>
      <c r="MFJ22" s="65"/>
      <c r="MFK22" s="65"/>
      <c r="MFL22" s="65"/>
      <c r="MFM22" s="65"/>
      <c r="MFN22" s="65"/>
      <c r="MFO22" s="65"/>
      <c r="MFP22" s="65"/>
      <c r="MFQ22" s="65"/>
      <c r="MFR22" s="65"/>
      <c r="MFS22" s="65"/>
      <c r="MFT22" s="65"/>
      <c r="MFU22" s="65"/>
      <c r="MFV22" s="65"/>
      <c r="MFW22" s="65"/>
      <c r="MFX22" s="65"/>
      <c r="MFY22" s="65"/>
      <c r="MFZ22" s="65"/>
      <c r="MGA22" s="65"/>
      <c r="MGB22" s="65"/>
      <c r="MGC22" s="65"/>
      <c r="MGD22" s="65"/>
      <c r="MGE22" s="65"/>
      <c r="MGF22" s="65"/>
      <c r="MGG22" s="65"/>
      <c r="MGH22" s="65"/>
      <c r="MGI22" s="65"/>
      <c r="MGJ22" s="65"/>
      <c r="MGK22" s="65"/>
      <c r="MGL22" s="65"/>
      <c r="MGM22" s="65"/>
      <c r="MGN22" s="65"/>
      <c r="MGO22" s="65"/>
      <c r="MGP22" s="65"/>
      <c r="MGQ22" s="65"/>
      <c r="MGR22" s="65"/>
      <c r="MGS22" s="65"/>
      <c r="MGT22" s="65"/>
      <c r="MGU22" s="65"/>
      <c r="MGV22" s="65"/>
      <c r="MGW22" s="65"/>
      <c r="MGX22" s="65"/>
      <c r="MGY22" s="65"/>
      <c r="MGZ22" s="65"/>
      <c r="MHA22" s="65"/>
      <c r="MHB22" s="65"/>
      <c r="MHC22" s="65"/>
      <c r="MHD22" s="65"/>
      <c r="MHE22" s="65"/>
      <c r="MHF22" s="65"/>
      <c r="MHG22" s="65"/>
      <c r="MHH22" s="65"/>
      <c r="MHI22" s="65"/>
      <c r="MHJ22" s="65"/>
      <c r="MHK22" s="65"/>
      <c r="MHL22" s="65"/>
      <c r="MHM22" s="65"/>
      <c r="MHN22" s="65"/>
      <c r="MHO22" s="65"/>
      <c r="MHP22" s="65"/>
      <c r="MHQ22" s="65"/>
      <c r="MHR22" s="65"/>
      <c r="MHS22" s="65"/>
      <c r="MHT22" s="65"/>
      <c r="MHU22" s="65"/>
      <c r="MHV22" s="65"/>
      <c r="MHW22" s="65"/>
      <c r="MHX22" s="65"/>
      <c r="MHY22" s="65"/>
      <c r="MHZ22" s="65"/>
      <c r="MIA22" s="65"/>
      <c r="MIB22" s="65"/>
      <c r="MIC22" s="65"/>
      <c r="MID22" s="65"/>
      <c r="MIE22" s="65"/>
      <c r="MIF22" s="65"/>
      <c r="MIG22" s="65"/>
      <c r="MIH22" s="65"/>
      <c r="MII22" s="65"/>
      <c r="MIJ22" s="65"/>
      <c r="MIK22" s="65"/>
      <c r="MIL22" s="65"/>
      <c r="MIM22" s="65"/>
      <c r="MIN22" s="65"/>
      <c r="MIO22" s="65"/>
      <c r="MIP22" s="65"/>
      <c r="MIQ22" s="65"/>
      <c r="MIR22" s="65"/>
      <c r="MIS22" s="65"/>
      <c r="MIT22" s="65"/>
      <c r="MIU22" s="65"/>
      <c r="MIV22" s="65"/>
      <c r="MIW22" s="65"/>
      <c r="MIX22" s="65"/>
      <c r="MIY22" s="65"/>
      <c r="MIZ22" s="65"/>
      <c r="MJA22" s="65"/>
      <c r="MJB22" s="65"/>
      <c r="MJC22" s="65"/>
      <c r="MJD22" s="65"/>
      <c r="MJE22" s="65"/>
      <c r="MJF22" s="65"/>
      <c r="MJG22" s="65"/>
      <c r="MJH22" s="65"/>
      <c r="MJI22" s="65"/>
      <c r="MJJ22" s="65"/>
      <c r="MJK22" s="65"/>
      <c r="MJL22" s="65"/>
      <c r="MJM22" s="65"/>
      <c r="MJN22" s="65"/>
      <c r="MJO22" s="65"/>
      <c r="MJP22" s="65"/>
      <c r="MJQ22" s="65"/>
      <c r="MJR22" s="65"/>
      <c r="MJS22" s="65"/>
      <c r="MJT22" s="65"/>
      <c r="MJU22" s="65"/>
      <c r="MJV22" s="65"/>
      <c r="MJW22" s="65"/>
      <c r="MJX22" s="65"/>
      <c r="MJY22" s="65"/>
      <c r="MJZ22" s="65"/>
      <c r="MKA22" s="65"/>
      <c r="MKB22" s="65"/>
      <c r="MKC22" s="65"/>
      <c r="MKD22" s="65"/>
      <c r="MKE22" s="65"/>
      <c r="MKF22" s="65"/>
      <c r="MKG22" s="65"/>
      <c r="MKH22" s="65"/>
      <c r="MKI22" s="65"/>
      <c r="MKJ22" s="65"/>
      <c r="MKK22" s="65"/>
      <c r="MKL22" s="65"/>
      <c r="MKM22" s="65"/>
      <c r="MKN22" s="65"/>
      <c r="MKO22" s="65"/>
      <c r="MKP22" s="65"/>
      <c r="MKQ22" s="65"/>
      <c r="MKR22" s="65"/>
      <c r="MKS22" s="65"/>
      <c r="MKT22" s="65"/>
      <c r="MKU22" s="65"/>
      <c r="MKV22" s="65"/>
      <c r="MKW22" s="65"/>
      <c r="MKX22" s="65"/>
      <c r="MKY22" s="65"/>
      <c r="MKZ22" s="65"/>
      <c r="MLA22" s="65"/>
      <c r="MLB22" s="65"/>
      <c r="MLC22" s="65"/>
      <c r="MLD22" s="65"/>
      <c r="MLE22" s="65"/>
      <c r="MLF22" s="65"/>
      <c r="MLG22" s="65"/>
      <c r="MLH22" s="65"/>
      <c r="MLI22" s="65"/>
      <c r="MLJ22" s="65"/>
      <c r="MLK22" s="65"/>
      <c r="MLL22" s="65"/>
      <c r="MLM22" s="65"/>
      <c r="MLN22" s="65"/>
      <c r="MLO22" s="65"/>
      <c r="MLP22" s="65"/>
      <c r="MLQ22" s="65"/>
      <c r="MLR22" s="65"/>
      <c r="MLS22" s="65"/>
      <c r="MLT22" s="65"/>
      <c r="MLU22" s="65"/>
      <c r="MLV22" s="65"/>
      <c r="MLW22" s="65"/>
      <c r="MLX22" s="65"/>
      <c r="MLY22" s="65"/>
      <c r="MLZ22" s="65"/>
      <c r="MMA22" s="65"/>
      <c r="MMB22" s="65"/>
      <c r="MMC22" s="65"/>
      <c r="MMD22" s="65"/>
      <c r="MME22" s="65"/>
      <c r="MMF22" s="65"/>
      <c r="MMG22" s="65"/>
      <c r="MMH22" s="65"/>
      <c r="MMI22" s="65"/>
      <c r="MMJ22" s="65"/>
      <c r="MMK22" s="65"/>
      <c r="MML22" s="65"/>
      <c r="MMM22" s="65"/>
      <c r="MMN22" s="65"/>
      <c r="MMO22" s="65"/>
      <c r="MMP22" s="65"/>
      <c r="MMQ22" s="65"/>
      <c r="MMR22" s="65"/>
      <c r="MMS22" s="65"/>
      <c r="MMT22" s="65"/>
      <c r="MMU22" s="65"/>
      <c r="MMV22" s="65"/>
      <c r="MMW22" s="65"/>
      <c r="MMX22" s="65"/>
      <c r="MMY22" s="65"/>
      <c r="MMZ22" s="65"/>
      <c r="MNA22" s="65"/>
      <c r="MNB22" s="65"/>
      <c r="MNC22" s="65"/>
      <c r="MND22" s="65"/>
      <c r="MNE22" s="65"/>
      <c r="MNF22" s="65"/>
      <c r="MNG22" s="65"/>
      <c r="MNH22" s="65"/>
      <c r="MNI22" s="65"/>
      <c r="MNJ22" s="65"/>
      <c r="MNK22" s="65"/>
      <c r="MNL22" s="65"/>
      <c r="MNM22" s="65"/>
      <c r="MNN22" s="65"/>
      <c r="MNO22" s="65"/>
      <c r="MNP22" s="65"/>
      <c r="MNQ22" s="65"/>
      <c r="MNR22" s="65"/>
      <c r="MNS22" s="65"/>
      <c r="MNT22" s="65"/>
      <c r="MNU22" s="65"/>
      <c r="MNV22" s="65"/>
      <c r="MNW22" s="65"/>
      <c r="MNX22" s="65"/>
      <c r="MNY22" s="65"/>
      <c r="MNZ22" s="65"/>
      <c r="MOA22" s="65"/>
      <c r="MOB22" s="65"/>
      <c r="MOC22" s="65"/>
      <c r="MOD22" s="65"/>
      <c r="MOE22" s="65"/>
      <c r="MOF22" s="65"/>
      <c r="MOG22" s="65"/>
      <c r="MOH22" s="65"/>
      <c r="MOI22" s="65"/>
      <c r="MOJ22" s="65"/>
      <c r="MOK22" s="65"/>
      <c r="MOL22" s="65"/>
      <c r="MOM22" s="65"/>
      <c r="MON22" s="65"/>
      <c r="MOO22" s="65"/>
      <c r="MOP22" s="65"/>
      <c r="MOQ22" s="65"/>
      <c r="MOR22" s="65"/>
      <c r="MOS22" s="65"/>
      <c r="MOT22" s="65"/>
      <c r="MOU22" s="65"/>
      <c r="MOV22" s="65"/>
      <c r="MOW22" s="65"/>
      <c r="MOX22" s="65"/>
      <c r="MOY22" s="65"/>
      <c r="MOZ22" s="65"/>
      <c r="MPA22" s="65"/>
      <c r="MPB22" s="65"/>
      <c r="MPC22" s="65"/>
      <c r="MPD22" s="65"/>
      <c r="MPE22" s="65"/>
      <c r="MPF22" s="65"/>
      <c r="MPG22" s="65"/>
      <c r="MPH22" s="65"/>
      <c r="MPI22" s="65"/>
      <c r="MPJ22" s="65"/>
      <c r="MPK22" s="65"/>
      <c r="MPL22" s="65"/>
      <c r="MPM22" s="65"/>
      <c r="MPN22" s="65"/>
      <c r="MPO22" s="65"/>
      <c r="MPP22" s="65"/>
      <c r="MPQ22" s="65"/>
      <c r="MPR22" s="65"/>
      <c r="MPS22" s="65"/>
      <c r="MPT22" s="65"/>
      <c r="MPU22" s="65"/>
      <c r="MPV22" s="65"/>
      <c r="MPW22" s="65"/>
      <c r="MPX22" s="65"/>
      <c r="MPY22" s="65"/>
      <c r="MPZ22" s="65"/>
      <c r="MQA22" s="65"/>
      <c r="MQB22" s="65"/>
      <c r="MQC22" s="65"/>
      <c r="MQD22" s="65"/>
      <c r="MQE22" s="65"/>
      <c r="MQF22" s="65"/>
      <c r="MQG22" s="65"/>
      <c r="MQH22" s="65"/>
      <c r="MQI22" s="65"/>
      <c r="MQJ22" s="65"/>
      <c r="MQK22" s="65"/>
      <c r="MQL22" s="65"/>
      <c r="MQM22" s="65"/>
      <c r="MQN22" s="65"/>
      <c r="MQO22" s="65"/>
      <c r="MQP22" s="65"/>
      <c r="MQQ22" s="65"/>
      <c r="MQR22" s="65"/>
      <c r="MQS22" s="65"/>
      <c r="MQT22" s="65"/>
      <c r="MQU22" s="65"/>
      <c r="MQV22" s="65"/>
      <c r="MQW22" s="65"/>
      <c r="MQX22" s="65"/>
      <c r="MQY22" s="65"/>
      <c r="MQZ22" s="65"/>
      <c r="MRA22" s="65"/>
      <c r="MRB22" s="65"/>
      <c r="MRC22" s="65"/>
      <c r="MRD22" s="65"/>
      <c r="MRE22" s="65"/>
      <c r="MRF22" s="65"/>
      <c r="MRG22" s="65"/>
      <c r="MRH22" s="65"/>
      <c r="MRI22" s="65"/>
      <c r="MRJ22" s="65"/>
      <c r="MRK22" s="65"/>
      <c r="MRL22" s="65"/>
      <c r="MRM22" s="65"/>
      <c r="MRN22" s="65"/>
      <c r="MRO22" s="65"/>
      <c r="MRP22" s="65"/>
      <c r="MRQ22" s="65"/>
      <c r="MRR22" s="65"/>
      <c r="MRS22" s="65"/>
      <c r="MRT22" s="65"/>
      <c r="MRU22" s="65"/>
      <c r="MRV22" s="65"/>
      <c r="MRW22" s="65"/>
      <c r="MRX22" s="65"/>
      <c r="MRY22" s="65"/>
      <c r="MRZ22" s="65"/>
      <c r="MSA22" s="65"/>
      <c r="MSB22" s="65"/>
      <c r="MSC22" s="65"/>
      <c r="MSD22" s="65"/>
      <c r="MSE22" s="65"/>
      <c r="MSF22" s="65"/>
      <c r="MSG22" s="65"/>
      <c r="MSH22" s="65"/>
      <c r="MSI22" s="65"/>
      <c r="MSJ22" s="65"/>
      <c r="MSK22" s="65"/>
      <c r="MSL22" s="65"/>
      <c r="MSM22" s="65"/>
      <c r="MSN22" s="65"/>
      <c r="MSO22" s="65"/>
      <c r="MSP22" s="65"/>
      <c r="MSQ22" s="65"/>
      <c r="MSR22" s="65"/>
      <c r="MSS22" s="65"/>
      <c r="MST22" s="65"/>
      <c r="MSU22" s="65"/>
      <c r="MSV22" s="65"/>
      <c r="MSW22" s="65"/>
      <c r="MSX22" s="65"/>
      <c r="MSY22" s="65"/>
      <c r="MSZ22" s="65"/>
      <c r="MTA22" s="65"/>
      <c r="MTB22" s="65"/>
      <c r="MTC22" s="65"/>
      <c r="MTD22" s="65"/>
      <c r="MTE22" s="65"/>
      <c r="MTF22" s="65"/>
      <c r="MTG22" s="65"/>
      <c r="MTH22" s="65"/>
      <c r="MTI22" s="65"/>
      <c r="MTJ22" s="65"/>
      <c r="MTK22" s="65"/>
      <c r="MTL22" s="65"/>
      <c r="MTM22" s="65"/>
      <c r="MTN22" s="65"/>
      <c r="MTO22" s="65"/>
      <c r="MTP22" s="65"/>
      <c r="MTQ22" s="65"/>
      <c r="MTR22" s="65"/>
      <c r="MTS22" s="65"/>
      <c r="MTT22" s="65"/>
      <c r="MTU22" s="65"/>
      <c r="MTV22" s="65"/>
      <c r="MTW22" s="65"/>
      <c r="MTX22" s="65"/>
      <c r="MTY22" s="65"/>
      <c r="MTZ22" s="65"/>
      <c r="MUA22" s="65"/>
      <c r="MUB22" s="65"/>
      <c r="MUC22" s="65"/>
      <c r="MUD22" s="65"/>
      <c r="MUE22" s="65"/>
      <c r="MUF22" s="65"/>
      <c r="MUG22" s="65"/>
      <c r="MUH22" s="65"/>
      <c r="MUI22" s="65"/>
      <c r="MUJ22" s="65"/>
      <c r="MUK22" s="65"/>
      <c r="MUL22" s="65"/>
      <c r="MUM22" s="65"/>
      <c r="MUN22" s="65"/>
      <c r="MUO22" s="65"/>
      <c r="MUP22" s="65"/>
      <c r="MUQ22" s="65"/>
      <c r="MUR22" s="65"/>
      <c r="MUS22" s="65"/>
      <c r="MUT22" s="65"/>
      <c r="MUU22" s="65"/>
      <c r="MUV22" s="65"/>
      <c r="MUW22" s="65"/>
      <c r="MUX22" s="65"/>
      <c r="MUY22" s="65"/>
      <c r="MUZ22" s="65"/>
      <c r="MVA22" s="65"/>
      <c r="MVB22" s="65"/>
      <c r="MVC22" s="65"/>
      <c r="MVD22" s="65"/>
      <c r="MVE22" s="65"/>
      <c r="MVF22" s="65"/>
      <c r="MVG22" s="65"/>
      <c r="MVH22" s="65"/>
      <c r="MVI22" s="65"/>
      <c r="MVJ22" s="65"/>
      <c r="MVK22" s="65"/>
      <c r="MVL22" s="65"/>
      <c r="MVM22" s="65"/>
      <c r="MVN22" s="65"/>
      <c r="MVO22" s="65"/>
      <c r="MVP22" s="65"/>
      <c r="MVQ22" s="65"/>
      <c r="MVR22" s="65"/>
      <c r="MVS22" s="65"/>
      <c r="MVT22" s="65"/>
      <c r="MVU22" s="65"/>
      <c r="MVV22" s="65"/>
      <c r="MVW22" s="65"/>
      <c r="MVX22" s="65"/>
      <c r="MVY22" s="65"/>
      <c r="MVZ22" s="65"/>
      <c r="MWA22" s="65"/>
      <c r="MWB22" s="65"/>
      <c r="MWC22" s="65"/>
      <c r="MWD22" s="65"/>
      <c r="MWE22" s="65"/>
      <c r="MWF22" s="65"/>
      <c r="MWG22" s="65"/>
      <c r="MWH22" s="65"/>
      <c r="MWI22" s="65"/>
      <c r="MWJ22" s="65"/>
      <c r="MWK22" s="65"/>
      <c r="MWL22" s="65"/>
      <c r="MWM22" s="65"/>
      <c r="MWN22" s="65"/>
      <c r="MWO22" s="65"/>
      <c r="MWP22" s="65"/>
      <c r="MWQ22" s="65"/>
      <c r="MWR22" s="65"/>
      <c r="MWS22" s="65"/>
      <c r="MWT22" s="65"/>
      <c r="MWU22" s="65"/>
      <c r="MWV22" s="65"/>
      <c r="MWW22" s="65"/>
      <c r="MWX22" s="65"/>
      <c r="MWY22" s="65"/>
      <c r="MWZ22" s="65"/>
      <c r="MXA22" s="65"/>
      <c r="MXB22" s="65"/>
      <c r="MXC22" s="65"/>
      <c r="MXD22" s="65"/>
      <c r="MXE22" s="65"/>
      <c r="MXF22" s="65"/>
      <c r="MXG22" s="65"/>
      <c r="MXH22" s="65"/>
      <c r="MXI22" s="65"/>
      <c r="MXJ22" s="65"/>
      <c r="MXK22" s="65"/>
      <c r="MXL22" s="65"/>
      <c r="MXM22" s="65"/>
      <c r="MXN22" s="65"/>
      <c r="MXO22" s="65"/>
      <c r="MXP22" s="65"/>
      <c r="MXQ22" s="65"/>
      <c r="MXR22" s="65"/>
      <c r="MXS22" s="65"/>
      <c r="MXT22" s="65"/>
      <c r="MXU22" s="65"/>
      <c r="MXV22" s="65"/>
      <c r="MXW22" s="65"/>
      <c r="MXX22" s="65"/>
      <c r="MXY22" s="65"/>
      <c r="MXZ22" s="65"/>
      <c r="MYA22" s="65"/>
      <c r="MYB22" s="65"/>
      <c r="MYC22" s="65"/>
      <c r="MYD22" s="65"/>
      <c r="MYE22" s="65"/>
      <c r="MYF22" s="65"/>
      <c r="MYG22" s="65"/>
      <c r="MYH22" s="65"/>
      <c r="MYI22" s="65"/>
      <c r="MYJ22" s="65"/>
      <c r="MYK22" s="65"/>
      <c r="MYL22" s="65"/>
      <c r="MYM22" s="65"/>
      <c r="MYN22" s="65"/>
      <c r="MYO22" s="65"/>
      <c r="MYP22" s="65"/>
      <c r="MYQ22" s="65"/>
      <c r="MYR22" s="65"/>
      <c r="MYS22" s="65"/>
      <c r="MYT22" s="65"/>
      <c r="MYU22" s="65"/>
      <c r="MYV22" s="65"/>
      <c r="MYW22" s="65"/>
      <c r="MYX22" s="65"/>
      <c r="MYY22" s="65"/>
      <c r="MYZ22" s="65"/>
      <c r="MZA22" s="65"/>
      <c r="MZB22" s="65"/>
      <c r="MZC22" s="65"/>
      <c r="MZD22" s="65"/>
      <c r="MZE22" s="65"/>
      <c r="MZF22" s="65"/>
      <c r="MZG22" s="65"/>
      <c r="MZH22" s="65"/>
      <c r="MZI22" s="65"/>
      <c r="MZJ22" s="65"/>
      <c r="MZK22" s="65"/>
      <c r="MZL22" s="65"/>
      <c r="MZM22" s="65"/>
      <c r="MZN22" s="65"/>
      <c r="MZO22" s="65"/>
      <c r="MZP22" s="65"/>
      <c r="MZQ22" s="65"/>
      <c r="MZR22" s="65"/>
      <c r="MZS22" s="65"/>
      <c r="MZT22" s="65"/>
      <c r="MZU22" s="65"/>
      <c r="MZV22" s="65"/>
      <c r="MZW22" s="65"/>
      <c r="MZX22" s="65"/>
      <c r="MZY22" s="65"/>
      <c r="MZZ22" s="65"/>
      <c r="NAA22" s="65"/>
      <c r="NAB22" s="65"/>
      <c r="NAC22" s="65"/>
      <c r="NAD22" s="65"/>
      <c r="NAE22" s="65"/>
      <c r="NAF22" s="65"/>
      <c r="NAG22" s="65"/>
      <c r="NAH22" s="65"/>
      <c r="NAI22" s="65"/>
      <c r="NAJ22" s="65"/>
      <c r="NAK22" s="65"/>
      <c r="NAL22" s="65"/>
      <c r="NAM22" s="65"/>
      <c r="NAN22" s="65"/>
      <c r="NAO22" s="65"/>
      <c r="NAP22" s="65"/>
      <c r="NAQ22" s="65"/>
      <c r="NAR22" s="65"/>
      <c r="NAS22" s="65"/>
      <c r="NAT22" s="65"/>
      <c r="NAU22" s="65"/>
      <c r="NAV22" s="65"/>
      <c r="NAW22" s="65"/>
      <c r="NAX22" s="65"/>
      <c r="NAY22" s="65"/>
      <c r="NAZ22" s="65"/>
      <c r="NBA22" s="65"/>
      <c r="NBB22" s="65"/>
      <c r="NBC22" s="65"/>
      <c r="NBD22" s="65"/>
      <c r="NBE22" s="65"/>
      <c r="NBF22" s="65"/>
      <c r="NBG22" s="65"/>
      <c r="NBH22" s="65"/>
      <c r="NBI22" s="65"/>
      <c r="NBJ22" s="65"/>
      <c r="NBK22" s="65"/>
      <c r="NBL22" s="65"/>
      <c r="NBM22" s="65"/>
      <c r="NBN22" s="65"/>
      <c r="NBO22" s="65"/>
      <c r="NBP22" s="65"/>
      <c r="NBQ22" s="65"/>
      <c r="NBR22" s="65"/>
      <c r="NBS22" s="65"/>
      <c r="NBT22" s="65"/>
      <c r="NBU22" s="65"/>
      <c r="NBV22" s="65"/>
      <c r="NBW22" s="65"/>
      <c r="NBX22" s="65"/>
      <c r="NBY22" s="65"/>
      <c r="NBZ22" s="65"/>
      <c r="NCA22" s="65"/>
      <c r="NCB22" s="65"/>
      <c r="NCC22" s="65"/>
      <c r="NCD22" s="65"/>
      <c r="NCE22" s="65"/>
      <c r="NCF22" s="65"/>
      <c r="NCG22" s="65"/>
      <c r="NCH22" s="65"/>
      <c r="NCI22" s="65"/>
      <c r="NCJ22" s="65"/>
      <c r="NCK22" s="65"/>
      <c r="NCL22" s="65"/>
      <c r="NCM22" s="65"/>
      <c r="NCN22" s="65"/>
      <c r="NCO22" s="65"/>
      <c r="NCP22" s="65"/>
      <c r="NCQ22" s="65"/>
      <c r="NCR22" s="65"/>
      <c r="NCS22" s="65"/>
      <c r="NCT22" s="65"/>
      <c r="NCU22" s="65"/>
      <c r="NCV22" s="65"/>
      <c r="NCW22" s="65"/>
      <c r="NCX22" s="65"/>
      <c r="NCY22" s="65"/>
      <c r="NCZ22" s="65"/>
      <c r="NDA22" s="65"/>
      <c r="NDB22" s="65"/>
      <c r="NDC22" s="65"/>
      <c r="NDD22" s="65"/>
      <c r="NDE22" s="65"/>
      <c r="NDF22" s="65"/>
      <c r="NDG22" s="65"/>
      <c r="NDH22" s="65"/>
      <c r="NDI22" s="65"/>
      <c r="NDJ22" s="65"/>
      <c r="NDK22" s="65"/>
      <c r="NDL22" s="65"/>
      <c r="NDM22" s="65"/>
      <c r="NDN22" s="65"/>
      <c r="NDO22" s="65"/>
      <c r="NDP22" s="65"/>
      <c r="NDQ22" s="65"/>
      <c r="NDR22" s="65"/>
      <c r="NDS22" s="65"/>
      <c r="NDT22" s="65"/>
      <c r="NDU22" s="65"/>
      <c r="NDV22" s="65"/>
      <c r="NDW22" s="65"/>
      <c r="NDX22" s="65"/>
      <c r="NDY22" s="65"/>
      <c r="NDZ22" s="65"/>
      <c r="NEA22" s="65"/>
      <c r="NEB22" s="65"/>
      <c r="NEC22" s="65"/>
      <c r="NED22" s="65"/>
      <c r="NEE22" s="65"/>
      <c r="NEF22" s="65"/>
      <c r="NEG22" s="65"/>
      <c r="NEH22" s="65"/>
      <c r="NEI22" s="65"/>
      <c r="NEJ22" s="65"/>
      <c r="NEK22" s="65"/>
      <c r="NEL22" s="65"/>
      <c r="NEM22" s="65"/>
      <c r="NEN22" s="65"/>
      <c r="NEO22" s="65"/>
      <c r="NEP22" s="65"/>
      <c r="NEQ22" s="65"/>
      <c r="NER22" s="65"/>
      <c r="NES22" s="65"/>
      <c r="NET22" s="65"/>
      <c r="NEU22" s="65"/>
      <c r="NEV22" s="65"/>
      <c r="NEW22" s="65"/>
      <c r="NEX22" s="65"/>
      <c r="NEY22" s="65"/>
      <c r="NEZ22" s="65"/>
      <c r="NFA22" s="65"/>
      <c r="NFB22" s="65"/>
      <c r="NFC22" s="65"/>
      <c r="NFD22" s="65"/>
      <c r="NFE22" s="65"/>
      <c r="NFF22" s="65"/>
      <c r="NFG22" s="65"/>
      <c r="NFH22" s="65"/>
      <c r="NFI22" s="65"/>
      <c r="NFJ22" s="65"/>
      <c r="NFK22" s="65"/>
      <c r="NFL22" s="65"/>
      <c r="NFM22" s="65"/>
      <c r="NFN22" s="65"/>
      <c r="NFO22" s="65"/>
      <c r="NFP22" s="65"/>
      <c r="NFQ22" s="65"/>
      <c r="NFR22" s="65"/>
      <c r="NFS22" s="65"/>
      <c r="NFT22" s="65"/>
      <c r="NFU22" s="65"/>
      <c r="NFV22" s="65"/>
      <c r="NFW22" s="65"/>
      <c r="NFX22" s="65"/>
      <c r="NFY22" s="65"/>
      <c r="NFZ22" s="65"/>
      <c r="NGA22" s="65"/>
      <c r="NGB22" s="65"/>
      <c r="NGC22" s="65"/>
      <c r="NGD22" s="65"/>
      <c r="NGE22" s="65"/>
      <c r="NGF22" s="65"/>
      <c r="NGG22" s="65"/>
      <c r="NGH22" s="65"/>
      <c r="NGI22" s="65"/>
      <c r="NGJ22" s="65"/>
      <c r="NGK22" s="65"/>
      <c r="NGL22" s="65"/>
      <c r="NGM22" s="65"/>
      <c r="NGN22" s="65"/>
      <c r="NGO22" s="65"/>
      <c r="NGP22" s="65"/>
      <c r="NGQ22" s="65"/>
      <c r="NGR22" s="65"/>
      <c r="NGS22" s="65"/>
      <c r="NGT22" s="65"/>
      <c r="NGU22" s="65"/>
      <c r="NGV22" s="65"/>
      <c r="NGW22" s="65"/>
      <c r="NGX22" s="65"/>
      <c r="NGY22" s="65"/>
      <c r="NGZ22" s="65"/>
      <c r="NHA22" s="65"/>
      <c r="NHB22" s="65"/>
      <c r="NHC22" s="65"/>
      <c r="NHD22" s="65"/>
      <c r="NHE22" s="65"/>
      <c r="NHF22" s="65"/>
      <c r="NHG22" s="65"/>
      <c r="NHH22" s="65"/>
      <c r="NHI22" s="65"/>
      <c r="NHJ22" s="65"/>
      <c r="NHK22" s="65"/>
      <c r="NHL22" s="65"/>
      <c r="NHM22" s="65"/>
      <c r="NHN22" s="65"/>
      <c r="NHO22" s="65"/>
      <c r="NHP22" s="65"/>
      <c r="NHQ22" s="65"/>
      <c r="NHR22" s="65"/>
      <c r="NHS22" s="65"/>
      <c r="NHT22" s="65"/>
      <c r="NHU22" s="65"/>
      <c r="NHV22" s="65"/>
      <c r="NHW22" s="65"/>
      <c r="NHX22" s="65"/>
      <c r="NHY22" s="65"/>
      <c r="NHZ22" s="65"/>
      <c r="NIA22" s="65"/>
      <c r="NIB22" s="65"/>
      <c r="NIC22" s="65"/>
      <c r="NID22" s="65"/>
      <c r="NIE22" s="65"/>
      <c r="NIF22" s="65"/>
      <c r="NIG22" s="65"/>
      <c r="NIH22" s="65"/>
      <c r="NII22" s="65"/>
      <c r="NIJ22" s="65"/>
      <c r="NIK22" s="65"/>
      <c r="NIL22" s="65"/>
      <c r="NIM22" s="65"/>
      <c r="NIN22" s="65"/>
      <c r="NIO22" s="65"/>
      <c r="NIP22" s="65"/>
      <c r="NIQ22" s="65"/>
      <c r="NIR22" s="65"/>
      <c r="NIS22" s="65"/>
      <c r="NIT22" s="65"/>
      <c r="NIU22" s="65"/>
      <c r="NIV22" s="65"/>
      <c r="NIW22" s="65"/>
      <c r="NIX22" s="65"/>
      <c r="NIY22" s="65"/>
      <c r="NIZ22" s="65"/>
      <c r="NJA22" s="65"/>
      <c r="NJB22" s="65"/>
      <c r="NJC22" s="65"/>
      <c r="NJD22" s="65"/>
      <c r="NJE22" s="65"/>
      <c r="NJF22" s="65"/>
      <c r="NJG22" s="65"/>
      <c r="NJH22" s="65"/>
      <c r="NJI22" s="65"/>
      <c r="NJJ22" s="65"/>
      <c r="NJK22" s="65"/>
      <c r="NJL22" s="65"/>
      <c r="NJM22" s="65"/>
      <c r="NJN22" s="65"/>
      <c r="NJO22" s="65"/>
      <c r="NJP22" s="65"/>
      <c r="NJQ22" s="65"/>
      <c r="NJR22" s="65"/>
      <c r="NJS22" s="65"/>
      <c r="NJT22" s="65"/>
      <c r="NJU22" s="65"/>
      <c r="NJV22" s="65"/>
      <c r="NJW22" s="65"/>
      <c r="NJX22" s="65"/>
      <c r="NJY22" s="65"/>
      <c r="NJZ22" s="65"/>
      <c r="NKA22" s="65"/>
      <c r="NKB22" s="65"/>
      <c r="NKC22" s="65"/>
      <c r="NKD22" s="65"/>
      <c r="NKE22" s="65"/>
      <c r="NKF22" s="65"/>
      <c r="NKG22" s="65"/>
      <c r="NKH22" s="65"/>
      <c r="NKI22" s="65"/>
      <c r="NKJ22" s="65"/>
      <c r="NKK22" s="65"/>
      <c r="NKL22" s="65"/>
      <c r="NKM22" s="65"/>
      <c r="NKN22" s="65"/>
      <c r="NKO22" s="65"/>
      <c r="NKP22" s="65"/>
      <c r="NKQ22" s="65"/>
      <c r="NKR22" s="65"/>
      <c r="NKS22" s="65"/>
      <c r="NKT22" s="65"/>
      <c r="NKU22" s="65"/>
      <c r="NKV22" s="65"/>
      <c r="NKW22" s="65"/>
      <c r="NKX22" s="65"/>
      <c r="NKY22" s="65"/>
      <c r="NKZ22" s="65"/>
      <c r="NLA22" s="65"/>
      <c r="NLB22" s="65"/>
      <c r="NLC22" s="65"/>
      <c r="NLD22" s="65"/>
      <c r="NLE22" s="65"/>
      <c r="NLF22" s="65"/>
      <c r="NLG22" s="65"/>
      <c r="NLH22" s="65"/>
      <c r="NLI22" s="65"/>
      <c r="NLJ22" s="65"/>
      <c r="NLK22" s="65"/>
      <c r="NLL22" s="65"/>
      <c r="NLM22" s="65"/>
      <c r="NLN22" s="65"/>
      <c r="NLO22" s="65"/>
      <c r="NLP22" s="65"/>
      <c r="NLQ22" s="65"/>
      <c r="NLR22" s="65"/>
      <c r="NLS22" s="65"/>
      <c r="NLT22" s="65"/>
      <c r="NLU22" s="65"/>
      <c r="NLV22" s="65"/>
      <c r="NLW22" s="65"/>
      <c r="NLX22" s="65"/>
      <c r="NLY22" s="65"/>
      <c r="NLZ22" s="65"/>
      <c r="NMA22" s="65"/>
      <c r="NMB22" s="65"/>
      <c r="NMC22" s="65"/>
      <c r="NMD22" s="65"/>
      <c r="NME22" s="65"/>
      <c r="NMF22" s="65"/>
      <c r="NMG22" s="65"/>
      <c r="NMH22" s="65"/>
      <c r="NMI22" s="65"/>
      <c r="NMJ22" s="65"/>
      <c r="NMK22" s="65"/>
      <c r="NML22" s="65"/>
      <c r="NMM22" s="65"/>
      <c r="NMN22" s="65"/>
      <c r="NMO22" s="65"/>
      <c r="NMP22" s="65"/>
      <c r="NMQ22" s="65"/>
      <c r="NMR22" s="65"/>
      <c r="NMS22" s="65"/>
      <c r="NMT22" s="65"/>
      <c r="NMU22" s="65"/>
      <c r="NMV22" s="65"/>
      <c r="NMW22" s="65"/>
      <c r="NMX22" s="65"/>
      <c r="NMY22" s="65"/>
      <c r="NMZ22" s="65"/>
      <c r="NNA22" s="65"/>
      <c r="NNB22" s="65"/>
      <c r="NNC22" s="65"/>
      <c r="NND22" s="65"/>
      <c r="NNE22" s="65"/>
      <c r="NNF22" s="65"/>
      <c r="NNG22" s="65"/>
      <c r="NNH22" s="65"/>
      <c r="NNI22" s="65"/>
      <c r="NNJ22" s="65"/>
      <c r="NNK22" s="65"/>
      <c r="NNL22" s="65"/>
      <c r="NNM22" s="65"/>
      <c r="NNN22" s="65"/>
      <c r="NNO22" s="65"/>
      <c r="NNP22" s="65"/>
      <c r="NNQ22" s="65"/>
      <c r="NNR22" s="65"/>
      <c r="NNS22" s="65"/>
      <c r="NNT22" s="65"/>
      <c r="NNU22" s="65"/>
      <c r="NNV22" s="65"/>
      <c r="NNW22" s="65"/>
      <c r="NNX22" s="65"/>
      <c r="NNY22" s="65"/>
      <c r="NNZ22" s="65"/>
      <c r="NOA22" s="65"/>
      <c r="NOB22" s="65"/>
      <c r="NOC22" s="65"/>
      <c r="NOD22" s="65"/>
      <c r="NOE22" s="65"/>
      <c r="NOF22" s="65"/>
      <c r="NOG22" s="65"/>
      <c r="NOH22" s="65"/>
      <c r="NOI22" s="65"/>
      <c r="NOJ22" s="65"/>
      <c r="NOK22" s="65"/>
      <c r="NOL22" s="65"/>
      <c r="NOM22" s="65"/>
      <c r="NON22" s="65"/>
      <c r="NOO22" s="65"/>
      <c r="NOP22" s="65"/>
      <c r="NOQ22" s="65"/>
      <c r="NOR22" s="65"/>
      <c r="NOS22" s="65"/>
      <c r="NOT22" s="65"/>
      <c r="NOU22" s="65"/>
      <c r="NOV22" s="65"/>
      <c r="NOW22" s="65"/>
      <c r="NOX22" s="65"/>
      <c r="NOY22" s="65"/>
      <c r="NOZ22" s="65"/>
      <c r="NPA22" s="65"/>
      <c r="NPB22" s="65"/>
      <c r="NPC22" s="65"/>
      <c r="NPD22" s="65"/>
      <c r="NPE22" s="65"/>
      <c r="NPF22" s="65"/>
      <c r="NPG22" s="65"/>
      <c r="NPH22" s="65"/>
      <c r="NPI22" s="65"/>
      <c r="NPJ22" s="65"/>
      <c r="NPK22" s="65"/>
      <c r="NPL22" s="65"/>
      <c r="NPM22" s="65"/>
      <c r="NPN22" s="65"/>
      <c r="NPO22" s="65"/>
      <c r="NPP22" s="65"/>
      <c r="NPQ22" s="65"/>
      <c r="NPR22" s="65"/>
      <c r="NPS22" s="65"/>
      <c r="NPT22" s="65"/>
      <c r="NPU22" s="65"/>
      <c r="NPV22" s="65"/>
      <c r="NPW22" s="65"/>
      <c r="NPX22" s="65"/>
      <c r="NPY22" s="65"/>
      <c r="NPZ22" s="65"/>
      <c r="NQA22" s="65"/>
      <c r="NQB22" s="65"/>
      <c r="NQC22" s="65"/>
      <c r="NQD22" s="65"/>
      <c r="NQE22" s="65"/>
      <c r="NQF22" s="65"/>
      <c r="NQG22" s="65"/>
      <c r="NQH22" s="65"/>
      <c r="NQI22" s="65"/>
      <c r="NQJ22" s="65"/>
      <c r="NQK22" s="65"/>
      <c r="NQL22" s="65"/>
      <c r="NQM22" s="65"/>
      <c r="NQN22" s="65"/>
      <c r="NQO22" s="65"/>
      <c r="NQP22" s="65"/>
      <c r="NQQ22" s="65"/>
      <c r="NQR22" s="65"/>
      <c r="NQS22" s="65"/>
      <c r="NQT22" s="65"/>
      <c r="NQU22" s="65"/>
      <c r="NQV22" s="65"/>
      <c r="NQW22" s="65"/>
      <c r="NQX22" s="65"/>
      <c r="NQY22" s="65"/>
      <c r="NQZ22" s="65"/>
      <c r="NRA22" s="65"/>
      <c r="NRB22" s="65"/>
      <c r="NRC22" s="65"/>
      <c r="NRD22" s="65"/>
      <c r="NRE22" s="65"/>
      <c r="NRF22" s="65"/>
      <c r="NRG22" s="65"/>
      <c r="NRH22" s="65"/>
      <c r="NRI22" s="65"/>
      <c r="NRJ22" s="65"/>
      <c r="NRK22" s="65"/>
      <c r="NRL22" s="65"/>
      <c r="NRM22" s="65"/>
      <c r="NRN22" s="65"/>
      <c r="NRO22" s="65"/>
      <c r="NRP22" s="65"/>
      <c r="NRQ22" s="65"/>
      <c r="NRR22" s="65"/>
      <c r="NRS22" s="65"/>
      <c r="NRT22" s="65"/>
      <c r="NRU22" s="65"/>
      <c r="NRV22" s="65"/>
      <c r="NRW22" s="65"/>
      <c r="NRX22" s="65"/>
      <c r="NRY22" s="65"/>
      <c r="NRZ22" s="65"/>
      <c r="NSA22" s="65"/>
      <c r="NSB22" s="65"/>
      <c r="NSC22" s="65"/>
      <c r="NSD22" s="65"/>
      <c r="NSE22" s="65"/>
      <c r="NSF22" s="65"/>
      <c r="NSG22" s="65"/>
      <c r="NSH22" s="65"/>
      <c r="NSI22" s="65"/>
      <c r="NSJ22" s="65"/>
      <c r="NSK22" s="65"/>
      <c r="NSL22" s="65"/>
      <c r="NSM22" s="65"/>
      <c r="NSN22" s="65"/>
      <c r="NSO22" s="65"/>
      <c r="NSP22" s="65"/>
      <c r="NSQ22" s="65"/>
      <c r="NSR22" s="65"/>
      <c r="NSS22" s="65"/>
      <c r="NST22" s="65"/>
      <c r="NSU22" s="65"/>
      <c r="NSV22" s="65"/>
      <c r="NSW22" s="65"/>
      <c r="NSX22" s="65"/>
      <c r="NSY22" s="65"/>
      <c r="NSZ22" s="65"/>
      <c r="NTA22" s="65"/>
      <c r="NTB22" s="65"/>
      <c r="NTC22" s="65"/>
      <c r="NTD22" s="65"/>
      <c r="NTE22" s="65"/>
      <c r="NTF22" s="65"/>
      <c r="NTG22" s="65"/>
      <c r="NTH22" s="65"/>
      <c r="NTI22" s="65"/>
      <c r="NTJ22" s="65"/>
      <c r="NTK22" s="65"/>
      <c r="NTL22" s="65"/>
      <c r="NTM22" s="65"/>
      <c r="NTN22" s="65"/>
      <c r="NTO22" s="65"/>
      <c r="NTP22" s="65"/>
      <c r="NTQ22" s="65"/>
      <c r="NTR22" s="65"/>
      <c r="NTS22" s="65"/>
      <c r="NTT22" s="65"/>
      <c r="NTU22" s="65"/>
      <c r="NTV22" s="65"/>
      <c r="NTW22" s="65"/>
      <c r="NTX22" s="65"/>
      <c r="NTY22" s="65"/>
      <c r="NTZ22" s="65"/>
      <c r="NUA22" s="65"/>
      <c r="NUB22" s="65"/>
      <c r="NUC22" s="65"/>
      <c r="NUD22" s="65"/>
      <c r="NUE22" s="65"/>
      <c r="NUF22" s="65"/>
      <c r="NUG22" s="65"/>
      <c r="NUH22" s="65"/>
      <c r="NUI22" s="65"/>
      <c r="NUJ22" s="65"/>
      <c r="NUK22" s="65"/>
      <c r="NUL22" s="65"/>
      <c r="NUM22" s="65"/>
      <c r="NUN22" s="65"/>
      <c r="NUO22" s="65"/>
      <c r="NUP22" s="65"/>
      <c r="NUQ22" s="65"/>
      <c r="NUR22" s="65"/>
      <c r="NUS22" s="65"/>
      <c r="NUT22" s="65"/>
      <c r="NUU22" s="65"/>
      <c r="NUV22" s="65"/>
      <c r="NUW22" s="65"/>
      <c r="NUX22" s="65"/>
      <c r="NUY22" s="65"/>
      <c r="NUZ22" s="65"/>
      <c r="NVA22" s="65"/>
      <c r="NVB22" s="65"/>
      <c r="NVC22" s="65"/>
      <c r="NVD22" s="65"/>
      <c r="NVE22" s="65"/>
      <c r="NVF22" s="65"/>
      <c r="NVG22" s="65"/>
      <c r="NVH22" s="65"/>
      <c r="NVI22" s="65"/>
      <c r="NVJ22" s="65"/>
      <c r="NVK22" s="65"/>
      <c r="NVL22" s="65"/>
      <c r="NVM22" s="65"/>
      <c r="NVN22" s="65"/>
      <c r="NVO22" s="65"/>
      <c r="NVP22" s="65"/>
      <c r="NVQ22" s="65"/>
      <c r="NVR22" s="65"/>
      <c r="NVS22" s="65"/>
      <c r="NVT22" s="65"/>
      <c r="NVU22" s="65"/>
      <c r="NVV22" s="65"/>
      <c r="NVW22" s="65"/>
      <c r="NVX22" s="65"/>
      <c r="NVY22" s="65"/>
      <c r="NVZ22" s="65"/>
      <c r="NWA22" s="65"/>
      <c r="NWB22" s="65"/>
      <c r="NWC22" s="65"/>
      <c r="NWD22" s="65"/>
      <c r="NWE22" s="65"/>
      <c r="NWF22" s="65"/>
      <c r="NWG22" s="65"/>
      <c r="NWH22" s="65"/>
      <c r="NWI22" s="65"/>
      <c r="NWJ22" s="65"/>
      <c r="NWK22" s="65"/>
      <c r="NWL22" s="65"/>
      <c r="NWM22" s="65"/>
      <c r="NWN22" s="65"/>
      <c r="NWO22" s="65"/>
      <c r="NWP22" s="65"/>
      <c r="NWQ22" s="65"/>
      <c r="NWR22" s="65"/>
      <c r="NWS22" s="65"/>
      <c r="NWT22" s="65"/>
      <c r="NWU22" s="65"/>
      <c r="NWV22" s="65"/>
      <c r="NWW22" s="65"/>
      <c r="NWX22" s="65"/>
      <c r="NWY22" s="65"/>
      <c r="NWZ22" s="65"/>
      <c r="NXA22" s="65"/>
      <c r="NXB22" s="65"/>
      <c r="NXC22" s="65"/>
      <c r="NXD22" s="65"/>
      <c r="NXE22" s="65"/>
      <c r="NXF22" s="65"/>
      <c r="NXG22" s="65"/>
      <c r="NXH22" s="65"/>
      <c r="NXI22" s="65"/>
      <c r="NXJ22" s="65"/>
      <c r="NXK22" s="65"/>
      <c r="NXL22" s="65"/>
      <c r="NXM22" s="65"/>
      <c r="NXN22" s="65"/>
      <c r="NXO22" s="65"/>
      <c r="NXP22" s="65"/>
      <c r="NXQ22" s="65"/>
      <c r="NXR22" s="65"/>
      <c r="NXS22" s="65"/>
      <c r="NXT22" s="65"/>
      <c r="NXU22" s="65"/>
      <c r="NXV22" s="65"/>
      <c r="NXW22" s="65"/>
      <c r="NXX22" s="65"/>
      <c r="NXY22" s="65"/>
      <c r="NXZ22" s="65"/>
      <c r="NYA22" s="65"/>
      <c r="NYB22" s="65"/>
      <c r="NYC22" s="65"/>
      <c r="NYD22" s="65"/>
      <c r="NYE22" s="65"/>
      <c r="NYF22" s="65"/>
      <c r="NYG22" s="65"/>
      <c r="NYH22" s="65"/>
      <c r="NYI22" s="65"/>
      <c r="NYJ22" s="65"/>
      <c r="NYK22" s="65"/>
      <c r="NYL22" s="65"/>
      <c r="NYM22" s="65"/>
      <c r="NYN22" s="65"/>
      <c r="NYO22" s="65"/>
      <c r="NYP22" s="65"/>
      <c r="NYQ22" s="65"/>
      <c r="NYR22" s="65"/>
      <c r="NYS22" s="65"/>
      <c r="NYT22" s="65"/>
      <c r="NYU22" s="65"/>
      <c r="NYV22" s="65"/>
      <c r="NYW22" s="65"/>
      <c r="NYX22" s="65"/>
      <c r="NYY22" s="65"/>
      <c r="NYZ22" s="65"/>
      <c r="NZA22" s="65"/>
      <c r="NZB22" s="65"/>
      <c r="NZC22" s="65"/>
      <c r="NZD22" s="65"/>
      <c r="NZE22" s="65"/>
      <c r="NZF22" s="65"/>
      <c r="NZG22" s="65"/>
      <c r="NZH22" s="65"/>
      <c r="NZI22" s="65"/>
      <c r="NZJ22" s="65"/>
      <c r="NZK22" s="65"/>
      <c r="NZL22" s="65"/>
      <c r="NZM22" s="65"/>
      <c r="NZN22" s="65"/>
      <c r="NZO22" s="65"/>
      <c r="NZP22" s="65"/>
      <c r="NZQ22" s="65"/>
      <c r="NZR22" s="65"/>
      <c r="NZS22" s="65"/>
      <c r="NZT22" s="65"/>
      <c r="NZU22" s="65"/>
      <c r="NZV22" s="65"/>
      <c r="NZW22" s="65"/>
      <c r="NZX22" s="65"/>
      <c r="NZY22" s="65"/>
      <c r="NZZ22" s="65"/>
      <c r="OAA22" s="65"/>
      <c r="OAB22" s="65"/>
      <c r="OAC22" s="65"/>
      <c r="OAD22" s="65"/>
      <c r="OAE22" s="65"/>
      <c r="OAF22" s="65"/>
      <c r="OAG22" s="65"/>
      <c r="OAH22" s="65"/>
      <c r="OAI22" s="65"/>
      <c r="OAJ22" s="65"/>
      <c r="OAK22" s="65"/>
      <c r="OAL22" s="65"/>
      <c r="OAM22" s="65"/>
      <c r="OAN22" s="65"/>
      <c r="OAO22" s="65"/>
      <c r="OAP22" s="65"/>
      <c r="OAQ22" s="65"/>
      <c r="OAR22" s="65"/>
      <c r="OAS22" s="65"/>
      <c r="OAT22" s="65"/>
      <c r="OAU22" s="65"/>
      <c r="OAV22" s="65"/>
      <c r="OAW22" s="65"/>
      <c r="OAX22" s="65"/>
      <c r="OAY22" s="65"/>
      <c r="OAZ22" s="65"/>
      <c r="OBA22" s="65"/>
      <c r="OBB22" s="65"/>
      <c r="OBC22" s="65"/>
      <c r="OBD22" s="65"/>
      <c r="OBE22" s="65"/>
      <c r="OBF22" s="65"/>
      <c r="OBG22" s="65"/>
      <c r="OBH22" s="65"/>
      <c r="OBI22" s="65"/>
      <c r="OBJ22" s="65"/>
      <c r="OBK22" s="65"/>
      <c r="OBL22" s="65"/>
      <c r="OBM22" s="65"/>
      <c r="OBN22" s="65"/>
      <c r="OBO22" s="65"/>
      <c r="OBP22" s="65"/>
      <c r="OBQ22" s="65"/>
      <c r="OBR22" s="65"/>
      <c r="OBS22" s="65"/>
      <c r="OBT22" s="65"/>
      <c r="OBU22" s="65"/>
      <c r="OBV22" s="65"/>
      <c r="OBW22" s="65"/>
      <c r="OBX22" s="65"/>
      <c r="OBY22" s="65"/>
      <c r="OBZ22" s="65"/>
      <c r="OCA22" s="65"/>
      <c r="OCB22" s="65"/>
      <c r="OCC22" s="65"/>
      <c r="OCD22" s="65"/>
      <c r="OCE22" s="65"/>
      <c r="OCF22" s="65"/>
      <c r="OCG22" s="65"/>
      <c r="OCH22" s="65"/>
      <c r="OCI22" s="65"/>
      <c r="OCJ22" s="65"/>
      <c r="OCK22" s="65"/>
      <c r="OCL22" s="65"/>
      <c r="OCM22" s="65"/>
      <c r="OCN22" s="65"/>
      <c r="OCO22" s="65"/>
      <c r="OCP22" s="65"/>
      <c r="OCQ22" s="65"/>
      <c r="OCR22" s="65"/>
      <c r="OCS22" s="65"/>
      <c r="OCT22" s="65"/>
      <c r="OCU22" s="65"/>
      <c r="OCV22" s="65"/>
      <c r="OCW22" s="65"/>
      <c r="OCX22" s="65"/>
      <c r="OCY22" s="65"/>
      <c r="OCZ22" s="65"/>
      <c r="ODA22" s="65"/>
      <c r="ODB22" s="65"/>
      <c r="ODC22" s="65"/>
      <c r="ODD22" s="65"/>
      <c r="ODE22" s="65"/>
      <c r="ODF22" s="65"/>
      <c r="ODG22" s="65"/>
      <c r="ODH22" s="65"/>
      <c r="ODI22" s="65"/>
      <c r="ODJ22" s="65"/>
      <c r="ODK22" s="65"/>
      <c r="ODL22" s="65"/>
      <c r="ODM22" s="65"/>
      <c r="ODN22" s="65"/>
      <c r="ODO22" s="65"/>
      <c r="ODP22" s="65"/>
      <c r="ODQ22" s="65"/>
      <c r="ODR22" s="65"/>
      <c r="ODS22" s="65"/>
      <c r="ODT22" s="65"/>
      <c r="ODU22" s="65"/>
      <c r="ODV22" s="65"/>
      <c r="ODW22" s="65"/>
      <c r="ODX22" s="65"/>
      <c r="ODY22" s="65"/>
      <c r="ODZ22" s="65"/>
      <c r="OEA22" s="65"/>
      <c r="OEB22" s="65"/>
      <c r="OEC22" s="65"/>
      <c r="OED22" s="65"/>
      <c r="OEE22" s="65"/>
      <c r="OEF22" s="65"/>
      <c r="OEG22" s="65"/>
      <c r="OEH22" s="65"/>
      <c r="OEI22" s="65"/>
      <c r="OEJ22" s="65"/>
      <c r="OEK22" s="65"/>
      <c r="OEL22" s="65"/>
      <c r="OEM22" s="65"/>
      <c r="OEN22" s="65"/>
      <c r="OEO22" s="65"/>
      <c r="OEP22" s="65"/>
      <c r="OEQ22" s="65"/>
      <c r="OER22" s="65"/>
      <c r="OES22" s="65"/>
      <c r="OET22" s="65"/>
      <c r="OEU22" s="65"/>
      <c r="OEV22" s="65"/>
      <c r="OEW22" s="65"/>
      <c r="OEX22" s="65"/>
      <c r="OEY22" s="65"/>
      <c r="OEZ22" s="65"/>
      <c r="OFA22" s="65"/>
      <c r="OFB22" s="65"/>
      <c r="OFC22" s="65"/>
      <c r="OFD22" s="65"/>
      <c r="OFE22" s="65"/>
      <c r="OFF22" s="65"/>
      <c r="OFG22" s="65"/>
      <c r="OFH22" s="65"/>
      <c r="OFI22" s="65"/>
      <c r="OFJ22" s="65"/>
      <c r="OFK22" s="65"/>
      <c r="OFL22" s="65"/>
      <c r="OFM22" s="65"/>
      <c r="OFN22" s="65"/>
      <c r="OFO22" s="65"/>
      <c r="OFP22" s="65"/>
      <c r="OFQ22" s="65"/>
      <c r="OFR22" s="65"/>
      <c r="OFS22" s="65"/>
      <c r="OFT22" s="65"/>
      <c r="OFU22" s="65"/>
      <c r="OFV22" s="65"/>
      <c r="OFW22" s="65"/>
      <c r="OFX22" s="65"/>
      <c r="OFY22" s="65"/>
      <c r="OFZ22" s="65"/>
      <c r="OGA22" s="65"/>
      <c r="OGB22" s="65"/>
      <c r="OGC22" s="65"/>
      <c r="OGD22" s="65"/>
      <c r="OGE22" s="65"/>
      <c r="OGF22" s="65"/>
      <c r="OGG22" s="65"/>
      <c r="OGH22" s="65"/>
      <c r="OGI22" s="65"/>
      <c r="OGJ22" s="65"/>
      <c r="OGK22" s="65"/>
      <c r="OGL22" s="65"/>
      <c r="OGM22" s="65"/>
      <c r="OGN22" s="65"/>
      <c r="OGO22" s="65"/>
      <c r="OGP22" s="65"/>
      <c r="OGQ22" s="65"/>
      <c r="OGR22" s="65"/>
      <c r="OGS22" s="65"/>
      <c r="OGT22" s="65"/>
      <c r="OGU22" s="65"/>
      <c r="OGV22" s="65"/>
      <c r="OGW22" s="65"/>
      <c r="OGX22" s="65"/>
      <c r="OGY22" s="65"/>
      <c r="OGZ22" s="65"/>
      <c r="OHA22" s="65"/>
      <c r="OHB22" s="65"/>
      <c r="OHC22" s="65"/>
      <c r="OHD22" s="65"/>
      <c r="OHE22" s="65"/>
      <c r="OHF22" s="65"/>
      <c r="OHG22" s="65"/>
      <c r="OHH22" s="65"/>
      <c r="OHI22" s="65"/>
      <c r="OHJ22" s="65"/>
      <c r="OHK22" s="65"/>
      <c r="OHL22" s="65"/>
      <c r="OHM22" s="65"/>
      <c r="OHN22" s="65"/>
      <c r="OHO22" s="65"/>
      <c r="OHP22" s="65"/>
      <c r="OHQ22" s="65"/>
      <c r="OHR22" s="65"/>
      <c r="OHS22" s="65"/>
      <c r="OHT22" s="65"/>
      <c r="OHU22" s="65"/>
      <c r="OHV22" s="65"/>
      <c r="OHW22" s="65"/>
      <c r="OHX22" s="65"/>
      <c r="OHY22" s="65"/>
      <c r="OHZ22" s="65"/>
      <c r="OIA22" s="65"/>
      <c r="OIB22" s="65"/>
      <c r="OIC22" s="65"/>
      <c r="OID22" s="65"/>
      <c r="OIE22" s="65"/>
      <c r="OIF22" s="65"/>
      <c r="OIG22" s="65"/>
      <c r="OIH22" s="65"/>
      <c r="OII22" s="65"/>
      <c r="OIJ22" s="65"/>
      <c r="OIK22" s="65"/>
      <c r="OIL22" s="65"/>
      <c r="OIM22" s="65"/>
      <c r="OIN22" s="65"/>
      <c r="OIO22" s="65"/>
      <c r="OIP22" s="65"/>
      <c r="OIQ22" s="65"/>
      <c r="OIR22" s="65"/>
      <c r="OIS22" s="65"/>
      <c r="OIT22" s="65"/>
      <c r="OIU22" s="65"/>
      <c r="OIV22" s="65"/>
      <c r="OIW22" s="65"/>
      <c r="OIX22" s="65"/>
      <c r="OIY22" s="65"/>
      <c r="OIZ22" s="65"/>
      <c r="OJA22" s="65"/>
      <c r="OJB22" s="65"/>
      <c r="OJC22" s="65"/>
      <c r="OJD22" s="65"/>
      <c r="OJE22" s="65"/>
      <c r="OJF22" s="65"/>
      <c r="OJG22" s="65"/>
      <c r="OJH22" s="65"/>
      <c r="OJI22" s="65"/>
      <c r="OJJ22" s="65"/>
      <c r="OJK22" s="65"/>
      <c r="OJL22" s="65"/>
      <c r="OJM22" s="65"/>
      <c r="OJN22" s="65"/>
      <c r="OJO22" s="65"/>
      <c r="OJP22" s="65"/>
      <c r="OJQ22" s="65"/>
      <c r="OJR22" s="65"/>
      <c r="OJS22" s="65"/>
      <c r="OJT22" s="65"/>
      <c r="OJU22" s="65"/>
      <c r="OJV22" s="65"/>
      <c r="OJW22" s="65"/>
      <c r="OJX22" s="65"/>
      <c r="OJY22" s="65"/>
      <c r="OJZ22" s="65"/>
      <c r="OKA22" s="65"/>
      <c r="OKB22" s="65"/>
      <c r="OKC22" s="65"/>
      <c r="OKD22" s="65"/>
      <c r="OKE22" s="65"/>
      <c r="OKF22" s="65"/>
      <c r="OKG22" s="65"/>
      <c r="OKH22" s="65"/>
      <c r="OKI22" s="65"/>
      <c r="OKJ22" s="65"/>
      <c r="OKK22" s="65"/>
      <c r="OKL22" s="65"/>
      <c r="OKM22" s="65"/>
      <c r="OKN22" s="65"/>
      <c r="OKO22" s="65"/>
      <c r="OKP22" s="65"/>
      <c r="OKQ22" s="65"/>
      <c r="OKR22" s="65"/>
      <c r="OKS22" s="65"/>
      <c r="OKT22" s="65"/>
      <c r="OKU22" s="65"/>
      <c r="OKV22" s="65"/>
      <c r="OKW22" s="65"/>
      <c r="OKX22" s="65"/>
      <c r="OKY22" s="65"/>
      <c r="OKZ22" s="65"/>
      <c r="OLA22" s="65"/>
      <c r="OLB22" s="65"/>
      <c r="OLC22" s="65"/>
      <c r="OLD22" s="65"/>
      <c r="OLE22" s="65"/>
      <c r="OLF22" s="65"/>
      <c r="OLG22" s="65"/>
      <c r="OLH22" s="65"/>
      <c r="OLI22" s="65"/>
      <c r="OLJ22" s="65"/>
      <c r="OLK22" s="65"/>
      <c r="OLL22" s="65"/>
      <c r="OLM22" s="65"/>
      <c r="OLN22" s="65"/>
      <c r="OLO22" s="65"/>
      <c r="OLP22" s="65"/>
      <c r="OLQ22" s="65"/>
      <c r="OLR22" s="65"/>
      <c r="OLS22" s="65"/>
      <c r="OLT22" s="65"/>
      <c r="OLU22" s="65"/>
      <c r="OLV22" s="65"/>
      <c r="OLW22" s="65"/>
      <c r="OLX22" s="65"/>
      <c r="OLY22" s="65"/>
      <c r="OLZ22" s="65"/>
      <c r="OMA22" s="65"/>
      <c r="OMB22" s="65"/>
      <c r="OMC22" s="65"/>
      <c r="OMD22" s="65"/>
      <c r="OME22" s="65"/>
      <c r="OMF22" s="65"/>
      <c r="OMG22" s="65"/>
      <c r="OMH22" s="65"/>
      <c r="OMI22" s="65"/>
      <c r="OMJ22" s="65"/>
      <c r="OMK22" s="65"/>
      <c r="OML22" s="65"/>
      <c r="OMM22" s="65"/>
      <c r="OMN22" s="65"/>
      <c r="OMO22" s="65"/>
      <c r="OMP22" s="65"/>
      <c r="OMQ22" s="65"/>
      <c r="OMR22" s="65"/>
      <c r="OMS22" s="65"/>
      <c r="OMT22" s="65"/>
      <c r="OMU22" s="65"/>
      <c r="OMV22" s="65"/>
      <c r="OMW22" s="65"/>
      <c r="OMX22" s="65"/>
      <c r="OMY22" s="65"/>
      <c r="OMZ22" s="65"/>
      <c r="ONA22" s="65"/>
      <c r="ONB22" s="65"/>
      <c r="ONC22" s="65"/>
      <c r="OND22" s="65"/>
      <c r="ONE22" s="65"/>
      <c r="ONF22" s="65"/>
      <c r="ONG22" s="65"/>
      <c r="ONH22" s="65"/>
      <c r="ONI22" s="65"/>
      <c r="ONJ22" s="65"/>
      <c r="ONK22" s="65"/>
      <c r="ONL22" s="65"/>
      <c r="ONM22" s="65"/>
      <c r="ONN22" s="65"/>
      <c r="ONO22" s="65"/>
      <c r="ONP22" s="65"/>
      <c r="ONQ22" s="65"/>
      <c r="ONR22" s="65"/>
      <c r="ONS22" s="65"/>
      <c r="ONT22" s="65"/>
      <c r="ONU22" s="65"/>
      <c r="ONV22" s="65"/>
      <c r="ONW22" s="65"/>
      <c r="ONX22" s="65"/>
      <c r="ONY22" s="65"/>
      <c r="ONZ22" s="65"/>
      <c r="OOA22" s="65"/>
      <c r="OOB22" s="65"/>
      <c r="OOC22" s="65"/>
      <c r="OOD22" s="65"/>
      <c r="OOE22" s="65"/>
      <c r="OOF22" s="65"/>
      <c r="OOG22" s="65"/>
      <c r="OOH22" s="65"/>
      <c r="OOI22" s="65"/>
      <c r="OOJ22" s="65"/>
      <c r="OOK22" s="65"/>
      <c r="OOL22" s="65"/>
      <c r="OOM22" s="65"/>
      <c r="OON22" s="65"/>
      <c r="OOO22" s="65"/>
      <c r="OOP22" s="65"/>
      <c r="OOQ22" s="65"/>
      <c r="OOR22" s="65"/>
      <c r="OOS22" s="65"/>
      <c r="OOT22" s="65"/>
      <c r="OOU22" s="65"/>
      <c r="OOV22" s="65"/>
      <c r="OOW22" s="65"/>
      <c r="OOX22" s="65"/>
      <c r="OOY22" s="65"/>
      <c r="OOZ22" s="65"/>
      <c r="OPA22" s="65"/>
      <c r="OPB22" s="65"/>
      <c r="OPC22" s="65"/>
      <c r="OPD22" s="65"/>
      <c r="OPE22" s="65"/>
      <c r="OPF22" s="65"/>
      <c r="OPG22" s="65"/>
      <c r="OPH22" s="65"/>
      <c r="OPI22" s="65"/>
      <c r="OPJ22" s="65"/>
      <c r="OPK22" s="65"/>
      <c r="OPL22" s="65"/>
      <c r="OPM22" s="65"/>
      <c r="OPN22" s="65"/>
      <c r="OPO22" s="65"/>
      <c r="OPP22" s="65"/>
      <c r="OPQ22" s="65"/>
      <c r="OPR22" s="65"/>
      <c r="OPS22" s="65"/>
      <c r="OPT22" s="65"/>
      <c r="OPU22" s="65"/>
      <c r="OPV22" s="65"/>
      <c r="OPW22" s="65"/>
      <c r="OPX22" s="65"/>
      <c r="OPY22" s="65"/>
      <c r="OPZ22" s="65"/>
      <c r="OQA22" s="65"/>
      <c r="OQB22" s="65"/>
      <c r="OQC22" s="65"/>
      <c r="OQD22" s="65"/>
      <c r="OQE22" s="65"/>
      <c r="OQF22" s="65"/>
      <c r="OQG22" s="65"/>
      <c r="OQH22" s="65"/>
      <c r="OQI22" s="65"/>
      <c r="OQJ22" s="65"/>
      <c r="OQK22" s="65"/>
      <c r="OQL22" s="65"/>
      <c r="OQM22" s="65"/>
      <c r="OQN22" s="65"/>
      <c r="OQO22" s="65"/>
      <c r="OQP22" s="65"/>
      <c r="OQQ22" s="65"/>
      <c r="OQR22" s="65"/>
      <c r="OQS22" s="65"/>
      <c r="OQT22" s="65"/>
      <c r="OQU22" s="65"/>
      <c r="OQV22" s="65"/>
      <c r="OQW22" s="65"/>
      <c r="OQX22" s="65"/>
      <c r="OQY22" s="65"/>
      <c r="OQZ22" s="65"/>
      <c r="ORA22" s="65"/>
      <c r="ORB22" s="65"/>
      <c r="ORC22" s="65"/>
      <c r="ORD22" s="65"/>
      <c r="ORE22" s="65"/>
      <c r="ORF22" s="65"/>
      <c r="ORG22" s="65"/>
      <c r="ORH22" s="65"/>
      <c r="ORI22" s="65"/>
      <c r="ORJ22" s="65"/>
      <c r="ORK22" s="65"/>
      <c r="ORL22" s="65"/>
      <c r="ORM22" s="65"/>
      <c r="ORN22" s="65"/>
      <c r="ORO22" s="65"/>
      <c r="ORP22" s="65"/>
      <c r="ORQ22" s="65"/>
      <c r="ORR22" s="65"/>
      <c r="ORS22" s="65"/>
      <c r="ORT22" s="65"/>
      <c r="ORU22" s="65"/>
      <c r="ORV22" s="65"/>
      <c r="ORW22" s="65"/>
      <c r="ORX22" s="65"/>
      <c r="ORY22" s="65"/>
      <c r="ORZ22" s="65"/>
      <c r="OSA22" s="65"/>
      <c r="OSB22" s="65"/>
      <c r="OSC22" s="65"/>
      <c r="OSD22" s="65"/>
      <c r="OSE22" s="65"/>
      <c r="OSF22" s="65"/>
      <c r="OSG22" s="65"/>
      <c r="OSH22" s="65"/>
      <c r="OSI22" s="65"/>
      <c r="OSJ22" s="65"/>
      <c r="OSK22" s="65"/>
      <c r="OSL22" s="65"/>
      <c r="OSM22" s="65"/>
      <c r="OSN22" s="65"/>
      <c r="OSO22" s="65"/>
      <c r="OSP22" s="65"/>
      <c r="OSQ22" s="65"/>
      <c r="OSR22" s="65"/>
      <c r="OSS22" s="65"/>
      <c r="OST22" s="65"/>
      <c r="OSU22" s="65"/>
      <c r="OSV22" s="65"/>
      <c r="OSW22" s="65"/>
      <c r="OSX22" s="65"/>
      <c r="OSY22" s="65"/>
      <c r="OSZ22" s="65"/>
      <c r="OTA22" s="65"/>
      <c r="OTB22" s="65"/>
      <c r="OTC22" s="65"/>
      <c r="OTD22" s="65"/>
      <c r="OTE22" s="65"/>
      <c r="OTF22" s="65"/>
      <c r="OTG22" s="65"/>
      <c r="OTH22" s="65"/>
      <c r="OTI22" s="65"/>
      <c r="OTJ22" s="65"/>
      <c r="OTK22" s="65"/>
      <c r="OTL22" s="65"/>
      <c r="OTM22" s="65"/>
      <c r="OTN22" s="65"/>
      <c r="OTO22" s="65"/>
      <c r="OTP22" s="65"/>
      <c r="OTQ22" s="65"/>
      <c r="OTR22" s="65"/>
      <c r="OTS22" s="65"/>
      <c r="OTT22" s="65"/>
      <c r="OTU22" s="65"/>
      <c r="OTV22" s="65"/>
      <c r="OTW22" s="65"/>
      <c r="OTX22" s="65"/>
      <c r="OTY22" s="65"/>
      <c r="OTZ22" s="65"/>
      <c r="OUA22" s="65"/>
      <c r="OUB22" s="65"/>
      <c r="OUC22" s="65"/>
      <c r="OUD22" s="65"/>
      <c r="OUE22" s="65"/>
      <c r="OUF22" s="65"/>
      <c r="OUG22" s="65"/>
      <c r="OUH22" s="65"/>
      <c r="OUI22" s="65"/>
      <c r="OUJ22" s="65"/>
      <c r="OUK22" s="65"/>
      <c r="OUL22" s="65"/>
      <c r="OUM22" s="65"/>
      <c r="OUN22" s="65"/>
      <c r="OUO22" s="65"/>
      <c r="OUP22" s="65"/>
      <c r="OUQ22" s="65"/>
      <c r="OUR22" s="65"/>
      <c r="OUS22" s="65"/>
      <c r="OUT22" s="65"/>
      <c r="OUU22" s="65"/>
      <c r="OUV22" s="65"/>
      <c r="OUW22" s="65"/>
      <c r="OUX22" s="65"/>
      <c r="OUY22" s="65"/>
      <c r="OUZ22" s="65"/>
      <c r="OVA22" s="65"/>
      <c r="OVB22" s="65"/>
      <c r="OVC22" s="65"/>
      <c r="OVD22" s="65"/>
      <c r="OVE22" s="65"/>
      <c r="OVF22" s="65"/>
      <c r="OVG22" s="65"/>
      <c r="OVH22" s="65"/>
      <c r="OVI22" s="65"/>
      <c r="OVJ22" s="65"/>
      <c r="OVK22" s="65"/>
      <c r="OVL22" s="65"/>
      <c r="OVM22" s="65"/>
      <c r="OVN22" s="65"/>
      <c r="OVO22" s="65"/>
      <c r="OVP22" s="65"/>
      <c r="OVQ22" s="65"/>
      <c r="OVR22" s="65"/>
      <c r="OVS22" s="65"/>
      <c r="OVT22" s="65"/>
      <c r="OVU22" s="65"/>
      <c r="OVV22" s="65"/>
      <c r="OVW22" s="65"/>
      <c r="OVX22" s="65"/>
      <c r="OVY22" s="65"/>
      <c r="OVZ22" s="65"/>
      <c r="OWA22" s="65"/>
      <c r="OWB22" s="65"/>
      <c r="OWC22" s="65"/>
      <c r="OWD22" s="65"/>
      <c r="OWE22" s="65"/>
      <c r="OWF22" s="65"/>
      <c r="OWG22" s="65"/>
      <c r="OWH22" s="65"/>
      <c r="OWI22" s="65"/>
      <c r="OWJ22" s="65"/>
      <c r="OWK22" s="65"/>
      <c r="OWL22" s="65"/>
      <c r="OWM22" s="65"/>
      <c r="OWN22" s="65"/>
      <c r="OWO22" s="65"/>
      <c r="OWP22" s="65"/>
      <c r="OWQ22" s="65"/>
      <c r="OWR22" s="65"/>
      <c r="OWS22" s="65"/>
      <c r="OWT22" s="65"/>
      <c r="OWU22" s="65"/>
      <c r="OWV22" s="65"/>
      <c r="OWW22" s="65"/>
      <c r="OWX22" s="65"/>
      <c r="OWY22" s="65"/>
      <c r="OWZ22" s="65"/>
      <c r="OXA22" s="65"/>
      <c r="OXB22" s="65"/>
      <c r="OXC22" s="65"/>
      <c r="OXD22" s="65"/>
      <c r="OXE22" s="65"/>
      <c r="OXF22" s="65"/>
      <c r="OXG22" s="65"/>
      <c r="OXH22" s="65"/>
      <c r="OXI22" s="65"/>
      <c r="OXJ22" s="65"/>
      <c r="OXK22" s="65"/>
      <c r="OXL22" s="65"/>
      <c r="OXM22" s="65"/>
      <c r="OXN22" s="65"/>
      <c r="OXO22" s="65"/>
      <c r="OXP22" s="65"/>
      <c r="OXQ22" s="65"/>
      <c r="OXR22" s="65"/>
      <c r="OXS22" s="65"/>
      <c r="OXT22" s="65"/>
      <c r="OXU22" s="65"/>
      <c r="OXV22" s="65"/>
      <c r="OXW22" s="65"/>
      <c r="OXX22" s="65"/>
      <c r="OXY22" s="65"/>
      <c r="OXZ22" s="65"/>
      <c r="OYA22" s="65"/>
      <c r="OYB22" s="65"/>
      <c r="OYC22" s="65"/>
      <c r="OYD22" s="65"/>
      <c r="OYE22" s="65"/>
      <c r="OYF22" s="65"/>
      <c r="OYG22" s="65"/>
      <c r="OYH22" s="65"/>
      <c r="OYI22" s="65"/>
      <c r="OYJ22" s="65"/>
      <c r="OYK22" s="65"/>
      <c r="OYL22" s="65"/>
      <c r="OYM22" s="65"/>
      <c r="OYN22" s="65"/>
      <c r="OYO22" s="65"/>
      <c r="OYP22" s="65"/>
      <c r="OYQ22" s="65"/>
      <c r="OYR22" s="65"/>
      <c r="OYS22" s="65"/>
      <c r="OYT22" s="65"/>
      <c r="OYU22" s="65"/>
      <c r="OYV22" s="65"/>
      <c r="OYW22" s="65"/>
      <c r="OYX22" s="65"/>
      <c r="OYY22" s="65"/>
      <c r="OYZ22" s="65"/>
      <c r="OZA22" s="65"/>
      <c r="OZB22" s="65"/>
      <c r="OZC22" s="65"/>
      <c r="OZD22" s="65"/>
      <c r="OZE22" s="65"/>
      <c r="OZF22" s="65"/>
      <c r="OZG22" s="65"/>
      <c r="OZH22" s="65"/>
      <c r="OZI22" s="65"/>
      <c r="OZJ22" s="65"/>
      <c r="OZK22" s="65"/>
      <c r="OZL22" s="65"/>
      <c r="OZM22" s="65"/>
      <c r="OZN22" s="65"/>
      <c r="OZO22" s="65"/>
      <c r="OZP22" s="65"/>
      <c r="OZQ22" s="65"/>
      <c r="OZR22" s="65"/>
      <c r="OZS22" s="65"/>
      <c r="OZT22" s="65"/>
      <c r="OZU22" s="65"/>
      <c r="OZV22" s="65"/>
      <c r="OZW22" s="65"/>
      <c r="OZX22" s="65"/>
      <c r="OZY22" s="65"/>
      <c r="OZZ22" s="65"/>
      <c r="PAA22" s="65"/>
      <c r="PAB22" s="65"/>
      <c r="PAC22" s="65"/>
      <c r="PAD22" s="65"/>
      <c r="PAE22" s="65"/>
      <c r="PAF22" s="65"/>
      <c r="PAG22" s="65"/>
      <c r="PAH22" s="65"/>
      <c r="PAI22" s="65"/>
      <c r="PAJ22" s="65"/>
      <c r="PAK22" s="65"/>
      <c r="PAL22" s="65"/>
      <c r="PAM22" s="65"/>
      <c r="PAN22" s="65"/>
      <c r="PAO22" s="65"/>
      <c r="PAP22" s="65"/>
      <c r="PAQ22" s="65"/>
      <c r="PAR22" s="65"/>
      <c r="PAS22" s="65"/>
      <c r="PAT22" s="65"/>
      <c r="PAU22" s="65"/>
      <c r="PAV22" s="65"/>
      <c r="PAW22" s="65"/>
      <c r="PAX22" s="65"/>
      <c r="PAY22" s="65"/>
      <c r="PAZ22" s="65"/>
      <c r="PBA22" s="65"/>
      <c r="PBB22" s="65"/>
      <c r="PBC22" s="65"/>
      <c r="PBD22" s="65"/>
      <c r="PBE22" s="65"/>
      <c r="PBF22" s="65"/>
      <c r="PBG22" s="65"/>
      <c r="PBH22" s="65"/>
      <c r="PBI22" s="65"/>
      <c r="PBJ22" s="65"/>
      <c r="PBK22" s="65"/>
      <c r="PBL22" s="65"/>
      <c r="PBM22" s="65"/>
      <c r="PBN22" s="65"/>
      <c r="PBO22" s="65"/>
      <c r="PBP22" s="65"/>
      <c r="PBQ22" s="65"/>
      <c r="PBR22" s="65"/>
      <c r="PBS22" s="65"/>
      <c r="PBT22" s="65"/>
      <c r="PBU22" s="65"/>
      <c r="PBV22" s="65"/>
      <c r="PBW22" s="65"/>
      <c r="PBX22" s="65"/>
      <c r="PBY22" s="65"/>
      <c r="PBZ22" s="65"/>
      <c r="PCA22" s="65"/>
      <c r="PCB22" s="65"/>
      <c r="PCC22" s="65"/>
      <c r="PCD22" s="65"/>
      <c r="PCE22" s="65"/>
      <c r="PCF22" s="65"/>
      <c r="PCG22" s="65"/>
      <c r="PCH22" s="65"/>
      <c r="PCI22" s="65"/>
      <c r="PCJ22" s="65"/>
      <c r="PCK22" s="65"/>
      <c r="PCL22" s="65"/>
      <c r="PCM22" s="65"/>
      <c r="PCN22" s="65"/>
      <c r="PCO22" s="65"/>
      <c r="PCP22" s="65"/>
      <c r="PCQ22" s="65"/>
      <c r="PCR22" s="65"/>
      <c r="PCS22" s="65"/>
      <c r="PCT22" s="65"/>
      <c r="PCU22" s="65"/>
      <c r="PCV22" s="65"/>
      <c r="PCW22" s="65"/>
      <c r="PCX22" s="65"/>
      <c r="PCY22" s="65"/>
      <c r="PCZ22" s="65"/>
      <c r="PDA22" s="65"/>
      <c r="PDB22" s="65"/>
      <c r="PDC22" s="65"/>
      <c r="PDD22" s="65"/>
      <c r="PDE22" s="65"/>
      <c r="PDF22" s="65"/>
      <c r="PDG22" s="65"/>
      <c r="PDH22" s="65"/>
      <c r="PDI22" s="65"/>
      <c r="PDJ22" s="65"/>
      <c r="PDK22" s="65"/>
      <c r="PDL22" s="65"/>
      <c r="PDM22" s="65"/>
      <c r="PDN22" s="65"/>
      <c r="PDO22" s="65"/>
      <c r="PDP22" s="65"/>
      <c r="PDQ22" s="65"/>
      <c r="PDR22" s="65"/>
      <c r="PDS22" s="65"/>
      <c r="PDT22" s="65"/>
      <c r="PDU22" s="65"/>
      <c r="PDV22" s="65"/>
      <c r="PDW22" s="65"/>
      <c r="PDX22" s="65"/>
      <c r="PDY22" s="65"/>
      <c r="PDZ22" s="65"/>
      <c r="PEA22" s="65"/>
      <c r="PEB22" s="65"/>
      <c r="PEC22" s="65"/>
      <c r="PED22" s="65"/>
      <c r="PEE22" s="65"/>
      <c r="PEF22" s="65"/>
      <c r="PEG22" s="65"/>
      <c r="PEH22" s="65"/>
      <c r="PEI22" s="65"/>
      <c r="PEJ22" s="65"/>
      <c r="PEK22" s="65"/>
      <c r="PEL22" s="65"/>
      <c r="PEM22" s="65"/>
      <c r="PEN22" s="65"/>
      <c r="PEO22" s="65"/>
      <c r="PEP22" s="65"/>
      <c r="PEQ22" s="65"/>
      <c r="PER22" s="65"/>
      <c r="PES22" s="65"/>
      <c r="PET22" s="65"/>
      <c r="PEU22" s="65"/>
      <c r="PEV22" s="65"/>
      <c r="PEW22" s="65"/>
      <c r="PEX22" s="65"/>
      <c r="PEY22" s="65"/>
      <c r="PEZ22" s="65"/>
      <c r="PFA22" s="65"/>
      <c r="PFB22" s="65"/>
      <c r="PFC22" s="65"/>
      <c r="PFD22" s="65"/>
      <c r="PFE22" s="65"/>
      <c r="PFF22" s="65"/>
      <c r="PFG22" s="65"/>
      <c r="PFH22" s="65"/>
      <c r="PFI22" s="65"/>
      <c r="PFJ22" s="65"/>
      <c r="PFK22" s="65"/>
      <c r="PFL22" s="65"/>
      <c r="PFM22" s="65"/>
      <c r="PFN22" s="65"/>
      <c r="PFO22" s="65"/>
      <c r="PFP22" s="65"/>
      <c r="PFQ22" s="65"/>
      <c r="PFR22" s="65"/>
      <c r="PFS22" s="65"/>
      <c r="PFT22" s="65"/>
      <c r="PFU22" s="65"/>
      <c r="PFV22" s="65"/>
      <c r="PFW22" s="65"/>
      <c r="PFX22" s="65"/>
      <c r="PFY22" s="65"/>
      <c r="PFZ22" s="65"/>
      <c r="PGA22" s="65"/>
      <c r="PGB22" s="65"/>
      <c r="PGC22" s="65"/>
      <c r="PGD22" s="65"/>
      <c r="PGE22" s="65"/>
      <c r="PGF22" s="65"/>
      <c r="PGG22" s="65"/>
      <c r="PGH22" s="65"/>
      <c r="PGI22" s="65"/>
      <c r="PGJ22" s="65"/>
      <c r="PGK22" s="65"/>
      <c r="PGL22" s="65"/>
      <c r="PGM22" s="65"/>
      <c r="PGN22" s="65"/>
      <c r="PGO22" s="65"/>
      <c r="PGP22" s="65"/>
      <c r="PGQ22" s="65"/>
      <c r="PGR22" s="65"/>
      <c r="PGS22" s="65"/>
      <c r="PGT22" s="65"/>
      <c r="PGU22" s="65"/>
      <c r="PGV22" s="65"/>
      <c r="PGW22" s="65"/>
      <c r="PGX22" s="65"/>
      <c r="PGY22" s="65"/>
      <c r="PGZ22" s="65"/>
      <c r="PHA22" s="65"/>
      <c r="PHB22" s="65"/>
      <c r="PHC22" s="65"/>
      <c r="PHD22" s="65"/>
      <c r="PHE22" s="65"/>
      <c r="PHF22" s="65"/>
      <c r="PHG22" s="65"/>
      <c r="PHH22" s="65"/>
      <c r="PHI22" s="65"/>
      <c r="PHJ22" s="65"/>
      <c r="PHK22" s="65"/>
      <c r="PHL22" s="65"/>
      <c r="PHM22" s="65"/>
      <c r="PHN22" s="65"/>
      <c r="PHO22" s="65"/>
      <c r="PHP22" s="65"/>
      <c r="PHQ22" s="65"/>
      <c r="PHR22" s="65"/>
      <c r="PHS22" s="65"/>
      <c r="PHT22" s="65"/>
      <c r="PHU22" s="65"/>
      <c r="PHV22" s="65"/>
      <c r="PHW22" s="65"/>
      <c r="PHX22" s="65"/>
      <c r="PHY22" s="65"/>
      <c r="PHZ22" s="65"/>
      <c r="PIA22" s="65"/>
      <c r="PIB22" s="65"/>
      <c r="PIC22" s="65"/>
      <c r="PID22" s="65"/>
      <c r="PIE22" s="65"/>
      <c r="PIF22" s="65"/>
      <c r="PIG22" s="65"/>
      <c r="PIH22" s="65"/>
      <c r="PII22" s="65"/>
      <c r="PIJ22" s="65"/>
      <c r="PIK22" s="65"/>
      <c r="PIL22" s="65"/>
      <c r="PIM22" s="65"/>
      <c r="PIN22" s="65"/>
      <c r="PIO22" s="65"/>
      <c r="PIP22" s="65"/>
      <c r="PIQ22" s="65"/>
      <c r="PIR22" s="65"/>
      <c r="PIS22" s="65"/>
      <c r="PIT22" s="65"/>
      <c r="PIU22" s="65"/>
      <c r="PIV22" s="65"/>
      <c r="PIW22" s="65"/>
      <c r="PIX22" s="65"/>
      <c r="PIY22" s="65"/>
      <c r="PIZ22" s="65"/>
      <c r="PJA22" s="65"/>
      <c r="PJB22" s="65"/>
      <c r="PJC22" s="65"/>
      <c r="PJD22" s="65"/>
      <c r="PJE22" s="65"/>
      <c r="PJF22" s="65"/>
      <c r="PJG22" s="65"/>
      <c r="PJH22" s="65"/>
      <c r="PJI22" s="65"/>
      <c r="PJJ22" s="65"/>
      <c r="PJK22" s="65"/>
      <c r="PJL22" s="65"/>
      <c r="PJM22" s="65"/>
      <c r="PJN22" s="65"/>
      <c r="PJO22" s="65"/>
      <c r="PJP22" s="65"/>
      <c r="PJQ22" s="65"/>
      <c r="PJR22" s="65"/>
      <c r="PJS22" s="65"/>
      <c r="PJT22" s="65"/>
      <c r="PJU22" s="65"/>
      <c r="PJV22" s="65"/>
      <c r="PJW22" s="65"/>
      <c r="PJX22" s="65"/>
      <c r="PJY22" s="65"/>
      <c r="PJZ22" s="65"/>
      <c r="PKA22" s="65"/>
      <c r="PKB22" s="65"/>
      <c r="PKC22" s="65"/>
      <c r="PKD22" s="65"/>
      <c r="PKE22" s="65"/>
      <c r="PKF22" s="65"/>
      <c r="PKG22" s="65"/>
      <c r="PKH22" s="65"/>
      <c r="PKI22" s="65"/>
      <c r="PKJ22" s="65"/>
      <c r="PKK22" s="65"/>
      <c r="PKL22" s="65"/>
      <c r="PKM22" s="65"/>
      <c r="PKN22" s="65"/>
      <c r="PKO22" s="65"/>
      <c r="PKP22" s="65"/>
      <c r="PKQ22" s="65"/>
      <c r="PKR22" s="65"/>
      <c r="PKS22" s="65"/>
      <c r="PKT22" s="65"/>
      <c r="PKU22" s="65"/>
      <c r="PKV22" s="65"/>
      <c r="PKW22" s="65"/>
      <c r="PKX22" s="65"/>
      <c r="PKY22" s="65"/>
      <c r="PKZ22" s="65"/>
      <c r="PLA22" s="65"/>
      <c r="PLB22" s="65"/>
      <c r="PLC22" s="65"/>
      <c r="PLD22" s="65"/>
      <c r="PLE22" s="65"/>
      <c r="PLF22" s="65"/>
      <c r="PLG22" s="65"/>
      <c r="PLH22" s="65"/>
      <c r="PLI22" s="65"/>
      <c r="PLJ22" s="65"/>
      <c r="PLK22" s="65"/>
      <c r="PLL22" s="65"/>
      <c r="PLM22" s="65"/>
      <c r="PLN22" s="65"/>
      <c r="PLO22" s="65"/>
      <c r="PLP22" s="65"/>
      <c r="PLQ22" s="65"/>
      <c r="PLR22" s="65"/>
      <c r="PLS22" s="65"/>
      <c r="PLT22" s="65"/>
      <c r="PLU22" s="65"/>
      <c r="PLV22" s="65"/>
      <c r="PLW22" s="65"/>
      <c r="PLX22" s="65"/>
      <c r="PLY22" s="65"/>
      <c r="PLZ22" s="65"/>
      <c r="PMA22" s="65"/>
      <c r="PMB22" s="65"/>
      <c r="PMC22" s="65"/>
      <c r="PMD22" s="65"/>
      <c r="PME22" s="65"/>
      <c r="PMF22" s="65"/>
      <c r="PMG22" s="65"/>
      <c r="PMH22" s="65"/>
      <c r="PMI22" s="65"/>
      <c r="PMJ22" s="65"/>
      <c r="PMK22" s="65"/>
      <c r="PML22" s="65"/>
      <c r="PMM22" s="65"/>
      <c r="PMN22" s="65"/>
      <c r="PMO22" s="65"/>
      <c r="PMP22" s="65"/>
      <c r="PMQ22" s="65"/>
      <c r="PMR22" s="65"/>
      <c r="PMS22" s="65"/>
      <c r="PMT22" s="65"/>
      <c r="PMU22" s="65"/>
      <c r="PMV22" s="65"/>
      <c r="PMW22" s="65"/>
      <c r="PMX22" s="65"/>
      <c r="PMY22" s="65"/>
      <c r="PMZ22" s="65"/>
      <c r="PNA22" s="65"/>
      <c r="PNB22" s="65"/>
      <c r="PNC22" s="65"/>
      <c r="PND22" s="65"/>
      <c r="PNE22" s="65"/>
      <c r="PNF22" s="65"/>
      <c r="PNG22" s="65"/>
      <c r="PNH22" s="65"/>
      <c r="PNI22" s="65"/>
      <c r="PNJ22" s="65"/>
      <c r="PNK22" s="65"/>
      <c r="PNL22" s="65"/>
      <c r="PNM22" s="65"/>
      <c r="PNN22" s="65"/>
      <c r="PNO22" s="65"/>
      <c r="PNP22" s="65"/>
      <c r="PNQ22" s="65"/>
      <c r="PNR22" s="65"/>
      <c r="PNS22" s="65"/>
      <c r="PNT22" s="65"/>
      <c r="PNU22" s="65"/>
      <c r="PNV22" s="65"/>
      <c r="PNW22" s="65"/>
      <c r="PNX22" s="65"/>
      <c r="PNY22" s="65"/>
      <c r="PNZ22" s="65"/>
      <c r="POA22" s="65"/>
      <c r="POB22" s="65"/>
      <c r="POC22" s="65"/>
      <c r="POD22" s="65"/>
      <c r="POE22" s="65"/>
      <c r="POF22" s="65"/>
      <c r="POG22" s="65"/>
      <c r="POH22" s="65"/>
      <c r="POI22" s="65"/>
      <c r="POJ22" s="65"/>
      <c r="POK22" s="65"/>
      <c r="POL22" s="65"/>
      <c r="POM22" s="65"/>
      <c r="PON22" s="65"/>
      <c r="POO22" s="65"/>
      <c r="POP22" s="65"/>
      <c r="POQ22" s="65"/>
      <c r="POR22" s="65"/>
      <c r="POS22" s="65"/>
      <c r="POT22" s="65"/>
      <c r="POU22" s="65"/>
      <c r="POV22" s="65"/>
      <c r="POW22" s="65"/>
      <c r="POX22" s="65"/>
      <c r="POY22" s="65"/>
      <c r="POZ22" s="65"/>
      <c r="PPA22" s="65"/>
      <c r="PPB22" s="65"/>
      <c r="PPC22" s="65"/>
      <c r="PPD22" s="65"/>
      <c r="PPE22" s="65"/>
      <c r="PPF22" s="65"/>
      <c r="PPG22" s="65"/>
      <c r="PPH22" s="65"/>
      <c r="PPI22" s="65"/>
      <c r="PPJ22" s="65"/>
      <c r="PPK22" s="65"/>
      <c r="PPL22" s="65"/>
      <c r="PPM22" s="65"/>
      <c r="PPN22" s="65"/>
      <c r="PPO22" s="65"/>
      <c r="PPP22" s="65"/>
      <c r="PPQ22" s="65"/>
      <c r="PPR22" s="65"/>
      <c r="PPS22" s="65"/>
      <c r="PPT22" s="65"/>
      <c r="PPU22" s="65"/>
      <c r="PPV22" s="65"/>
      <c r="PPW22" s="65"/>
      <c r="PPX22" s="65"/>
      <c r="PPY22" s="65"/>
      <c r="PPZ22" s="65"/>
      <c r="PQA22" s="65"/>
      <c r="PQB22" s="65"/>
      <c r="PQC22" s="65"/>
      <c r="PQD22" s="65"/>
      <c r="PQE22" s="65"/>
      <c r="PQF22" s="65"/>
      <c r="PQG22" s="65"/>
      <c r="PQH22" s="65"/>
      <c r="PQI22" s="65"/>
      <c r="PQJ22" s="65"/>
      <c r="PQK22" s="65"/>
      <c r="PQL22" s="65"/>
      <c r="PQM22" s="65"/>
      <c r="PQN22" s="65"/>
      <c r="PQO22" s="65"/>
      <c r="PQP22" s="65"/>
      <c r="PQQ22" s="65"/>
      <c r="PQR22" s="65"/>
      <c r="PQS22" s="65"/>
      <c r="PQT22" s="65"/>
      <c r="PQU22" s="65"/>
      <c r="PQV22" s="65"/>
      <c r="PQW22" s="65"/>
      <c r="PQX22" s="65"/>
      <c r="PQY22" s="65"/>
      <c r="PQZ22" s="65"/>
      <c r="PRA22" s="65"/>
      <c r="PRB22" s="65"/>
      <c r="PRC22" s="65"/>
      <c r="PRD22" s="65"/>
      <c r="PRE22" s="65"/>
      <c r="PRF22" s="65"/>
      <c r="PRG22" s="65"/>
      <c r="PRH22" s="65"/>
      <c r="PRI22" s="65"/>
      <c r="PRJ22" s="65"/>
      <c r="PRK22" s="65"/>
      <c r="PRL22" s="65"/>
      <c r="PRM22" s="65"/>
      <c r="PRN22" s="65"/>
      <c r="PRO22" s="65"/>
      <c r="PRP22" s="65"/>
      <c r="PRQ22" s="65"/>
      <c r="PRR22" s="65"/>
      <c r="PRS22" s="65"/>
      <c r="PRT22" s="65"/>
      <c r="PRU22" s="65"/>
      <c r="PRV22" s="65"/>
      <c r="PRW22" s="65"/>
      <c r="PRX22" s="65"/>
      <c r="PRY22" s="65"/>
      <c r="PRZ22" s="65"/>
      <c r="PSA22" s="65"/>
      <c r="PSB22" s="65"/>
      <c r="PSC22" s="65"/>
      <c r="PSD22" s="65"/>
      <c r="PSE22" s="65"/>
      <c r="PSF22" s="65"/>
      <c r="PSG22" s="65"/>
      <c r="PSH22" s="65"/>
      <c r="PSI22" s="65"/>
      <c r="PSJ22" s="65"/>
      <c r="PSK22" s="65"/>
      <c r="PSL22" s="65"/>
      <c r="PSM22" s="65"/>
      <c r="PSN22" s="65"/>
      <c r="PSO22" s="65"/>
      <c r="PSP22" s="65"/>
      <c r="PSQ22" s="65"/>
      <c r="PSR22" s="65"/>
      <c r="PSS22" s="65"/>
      <c r="PST22" s="65"/>
      <c r="PSU22" s="65"/>
      <c r="PSV22" s="65"/>
      <c r="PSW22" s="65"/>
      <c r="PSX22" s="65"/>
      <c r="PSY22" s="65"/>
      <c r="PSZ22" s="65"/>
      <c r="PTA22" s="65"/>
      <c r="PTB22" s="65"/>
      <c r="PTC22" s="65"/>
      <c r="PTD22" s="65"/>
      <c r="PTE22" s="65"/>
      <c r="PTF22" s="65"/>
      <c r="PTG22" s="65"/>
      <c r="PTH22" s="65"/>
      <c r="PTI22" s="65"/>
      <c r="PTJ22" s="65"/>
      <c r="PTK22" s="65"/>
      <c r="PTL22" s="65"/>
      <c r="PTM22" s="65"/>
      <c r="PTN22" s="65"/>
      <c r="PTO22" s="65"/>
      <c r="PTP22" s="65"/>
      <c r="PTQ22" s="65"/>
      <c r="PTR22" s="65"/>
      <c r="PTS22" s="65"/>
      <c r="PTT22" s="65"/>
      <c r="PTU22" s="65"/>
      <c r="PTV22" s="65"/>
      <c r="PTW22" s="65"/>
      <c r="PTX22" s="65"/>
      <c r="PTY22" s="65"/>
      <c r="PTZ22" s="65"/>
      <c r="PUA22" s="65"/>
      <c r="PUB22" s="65"/>
      <c r="PUC22" s="65"/>
      <c r="PUD22" s="65"/>
      <c r="PUE22" s="65"/>
      <c r="PUF22" s="65"/>
      <c r="PUG22" s="65"/>
      <c r="PUH22" s="65"/>
      <c r="PUI22" s="65"/>
      <c r="PUJ22" s="65"/>
      <c r="PUK22" s="65"/>
      <c r="PUL22" s="65"/>
      <c r="PUM22" s="65"/>
      <c r="PUN22" s="65"/>
      <c r="PUO22" s="65"/>
      <c r="PUP22" s="65"/>
      <c r="PUQ22" s="65"/>
      <c r="PUR22" s="65"/>
      <c r="PUS22" s="65"/>
      <c r="PUT22" s="65"/>
      <c r="PUU22" s="65"/>
      <c r="PUV22" s="65"/>
      <c r="PUW22" s="65"/>
      <c r="PUX22" s="65"/>
      <c r="PUY22" s="65"/>
      <c r="PUZ22" s="65"/>
      <c r="PVA22" s="65"/>
      <c r="PVB22" s="65"/>
      <c r="PVC22" s="65"/>
      <c r="PVD22" s="65"/>
      <c r="PVE22" s="65"/>
      <c r="PVF22" s="65"/>
      <c r="PVG22" s="65"/>
      <c r="PVH22" s="65"/>
      <c r="PVI22" s="65"/>
      <c r="PVJ22" s="65"/>
      <c r="PVK22" s="65"/>
      <c r="PVL22" s="65"/>
      <c r="PVM22" s="65"/>
      <c r="PVN22" s="65"/>
      <c r="PVO22" s="65"/>
      <c r="PVP22" s="65"/>
      <c r="PVQ22" s="65"/>
      <c r="PVR22" s="65"/>
      <c r="PVS22" s="65"/>
      <c r="PVT22" s="65"/>
      <c r="PVU22" s="65"/>
      <c r="PVV22" s="65"/>
      <c r="PVW22" s="65"/>
      <c r="PVX22" s="65"/>
      <c r="PVY22" s="65"/>
      <c r="PVZ22" s="65"/>
      <c r="PWA22" s="65"/>
      <c r="PWB22" s="65"/>
      <c r="PWC22" s="65"/>
      <c r="PWD22" s="65"/>
      <c r="PWE22" s="65"/>
      <c r="PWF22" s="65"/>
      <c r="PWG22" s="65"/>
      <c r="PWH22" s="65"/>
      <c r="PWI22" s="65"/>
      <c r="PWJ22" s="65"/>
      <c r="PWK22" s="65"/>
      <c r="PWL22" s="65"/>
      <c r="PWM22" s="65"/>
      <c r="PWN22" s="65"/>
      <c r="PWO22" s="65"/>
      <c r="PWP22" s="65"/>
      <c r="PWQ22" s="65"/>
      <c r="PWR22" s="65"/>
      <c r="PWS22" s="65"/>
      <c r="PWT22" s="65"/>
      <c r="PWU22" s="65"/>
      <c r="PWV22" s="65"/>
      <c r="PWW22" s="65"/>
      <c r="PWX22" s="65"/>
      <c r="PWY22" s="65"/>
      <c r="PWZ22" s="65"/>
      <c r="PXA22" s="65"/>
      <c r="PXB22" s="65"/>
      <c r="PXC22" s="65"/>
      <c r="PXD22" s="65"/>
      <c r="PXE22" s="65"/>
      <c r="PXF22" s="65"/>
      <c r="PXG22" s="65"/>
      <c r="PXH22" s="65"/>
      <c r="PXI22" s="65"/>
      <c r="PXJ22" s="65"/>
      <c r="PXK22" s="65"/>
      <c r="PXL22" s="65"/>
      <c r="PXM22" s="65"/>
      <c r="PXN22" s="65"/>
      <c r="PXO22" s="65"/>
      <c r="PXP22" s="65"/>
      <c r="PXQ22" s="65"/>
      <c r="PXR22" s="65"/>
      <c r="PXS22" s="65"/>
      <c r="PXT22" s="65"/>
      <c r="PXU22" s="65"/>
      <c r="PXV22" s="65"/>
      <c r="PXW22" s="65"/>
      <c r="PXX22" s="65"/>
      <c r="PXY22" s="65"/>
      <c r="PXZ22" s="65"/>
      <c r="PYA22" s="65"/>
      <c r="PYB22" s="65"/>
      <c r="PYC22" s="65"/>
      <c r="PYD22" s="65"/>
      <c r="PYE22" s="65"/>
      <c r="PYF22" s="65"/>
      <c r="PYG22" s="65"/>
      <c r="PYH22" s="65"/>
      <c r="PYI22" s="65"/>
      <c r="PYJ22" s="65"/>
      <c r="PYK22" s="65"/>
      <c r="PYL22" s="65"/>
      <c r="PYM22" s="65"/>
      <c r="PYN22" s="65"/>
      <c r="PYO22" s="65"/>
      <c r="PYP22" s="65"/>
      <c r="PYQ22" s="65"/>
      <c r="PYR22" s="65"/>
      <c r="PYS22" s="65"/>
      <c r="PYT22" s="65"/>
      <c r="PYU22" s="65"/>
      <c r="PYV22" s="65"/>
      <c r="PYW22" s="65"/>
      <c r="PYX22" s="65"/>
      <c r="PYY22" s="65"/>
      <c r="PYZ22" s="65"/>
      <c r="PZA22" s="65"/>
      <c r="PZB22" s="65"/>
      <c r="PZC22" s="65"/>
      <c r="PZD22" s="65"/>
      <c r="PZE22" s="65"/>
      <c r="PZF22" s="65"/>
      <c r="PZG22" s="65"/>
      <c r="PZH22" s="65"/>
      <c r="PZI22" s="65"/>
      <c r="PZJ22" s="65"/>
      <c r="PZK22" s="65"/>
      <c r="PZL22" s="65"/>
      <c r="PZM22" s="65"/>
      <c r="PZN22" s="65"/>
      <c r="PZO22" s="65"/>
      <c r="PZP22" s="65"/>
      <c r="PZQ22" s="65"/>
      <c r="PZR22" s="65"/>
      <c r="PZS22" s="65"/>
      <c r="PZT22" s="65"/>
      <c r="PZU22" s="65"/>
      <c r="PZV22" s="65"/>
      <c r="PZW22" s="65"/>
      <c r="PZX22" s="65"/>
      <c r="PZY22" s="65"/>
      <c r="PZZ22" s="65"/>
      <c r="QAA22" s="65"/>
      <c r="QAB22" s="65"/>
      <c r="QAC22" s="65"/>
      <c r="QAD22" s="65"/>
      <c r="QAE22" s="65"/>
      <c r="QAF22" s="65"/>
      <c r="QAG22" s="65"/>
      <c r="QAH22" s="65"/>
      <c r="QAI22" s="65"/>
      <c r="QAJ22" s="65"/>
      <c r="QAK22" s="65"/>
      <c r="QAL22" s="65"/>
      <c r="QAM22" s="65"/>
      <c r="QAN22" s="65"/>
      <c r="QAO22" s="65"/>
      <c r="QAP22" s="65"/>
      <c r="QAQ22" s="65"/>
      <c r="QAR22" s="65"/>
      <c r="QAS22" s="65"/>
      <c r="QAT22" s="65"/>
      <c r="QAU22" s="65"/>
      <c r="QAV22" s="65"/>
      <c r="QAW22" s="65"/>
      <c r="QAX22" s="65"/>
      <c r="QAY22" s="65"/>
      <c r="QAZ22" s="65"/>
      <c r="QBA22" s="65"/>
      <c r="QBB22" s="65"/>
      <c r="QBC22" s="65"/>
      <c r="QBD22" s="65"/>
      <c r="QBE22" s="65"/>
      <c r="QBF22" s="65"/>
      <c r="QBG22" s="65"/>
      <c r="QBH22" s="65"/>
      <c r="QBI22" s="65"/>
      <c r="QBJ22" s="65"/>
      <c r="QBK22" s="65"/>
      <c r="QBL22" s="65"/>
      <c r="QBM22" s="65"/>
      <c r="QBN22" s="65"/>
      <c r="QBO22" s="65"/>
      <c r="QBP22" s="65"/>
      <c r="QBQ22" s="65"/>
      <c r="QBR22" s="65"/>
      <c r="QBS22" s="65"/>
      <c r="QBT22" s="65"/>
      <c r="QBU22" s="65"/>
      <c r="QBV22" s="65"/>
      <c r="QBW22" s="65"/>
      <c r="QBX22" s="65"/>
      <c r="QBY22" s="65"/>
      <c r="QBZ22" s="65"/>
      <c r="QCA22" s="65"/>
      <c r="QCB22" s="65"/>
      <c r="QCC22" s="65"/>
      <c r="QCD22" s="65"/>
      <c r="QCE22" s="65"/>
      <c r="QCF22" s="65"/>
      <c r="QCG22" s="65"/>
      <c r="QCH22" s="65"/>
      <c r="QCI22" s="65"/>
      <c r="QCJ22" s="65"/>
      <c r="QCK22" s="65"/>
      <c r="QCL22" s="65"/>
      <c r="QCM22" s="65"/>
      <c r="QCN22" s="65"/>
      <c r="QCO22" s="65"/>
      <c r="QCP22" s="65"/>
      <c r="QCQ22" s="65"/>
      <c r="QCR22" s="65"/>
      <c r="QCS22" s="65"/>
      <c r="QCT22" s="65"/>
      <c r="QCU22" s="65"/>
      <c r="QCV22" s="65"/>
      <c r="QCW22" s="65"/>
      <c r="QCX22" s="65"/>
      <c r="QCY22" s="65"/>
      <c r="QCZ22" s="65"/>
      <c r="QDA22" s="65"/>
      <c r="QDB22" s="65"/>
      <c r="QDC22" s="65"/>
      <c r="QDD22" s="65"/>
      <c r="QDE22" s="65"/>
      <c r="QDF22" s="65"/>
      <c r="QDG22" s="65"/>
      <c r="QDH22" s="65"/>
      <c r="QDI22" s="65"/>
      <c r="QDJ22" s="65"/>
      <c r="QDK22" s="65"/>
      <c r="QDL22" s="65"/>
      <c r="QDM22" s="65"/>
      <c r="QDN22" s="65"/>
      <c r="QDO22" s="65"/>
      <c r="QDP22" s="65"/>
      <c r="QDQ22" s="65"/>
      <c r="QDR22" s="65"/>
      <c r="QDS22" s="65"/>
      <c r="QDT22" s="65"/>
      <c r="QDU22" s="65"/>
      <c r="QDV22" s="65"/>
      <c r="QDW22" s="65"/>
      <c r="QDX22" s="65"/>
      <c r="QDY22" s="65"/>
      <c r="QDZ22" s="65"/>
      <c r="QEA22" s="65"/>
      <c r="QEB22" s="65"/>
      <c r="QEC22" s="65"/>
      <c r="QED22" s="65"/>
      <c r="QEE22" s="65"/>
      <c r="QEF22" s="65"/>
      <c r="QEG22" s="65"/>
      <c r="QEH22" s="65"/>
      <c r="QEI22" s="65"/>
      <c r="QEJ22" s="65"/>
      <c r="QEK22" s="65"/>
      <c r="QEL22" s="65"/>
      <c r="QEM22" s="65"/>
      <c r="QEN22" s="65"/>
      <c r="QEO22" s="65"/>
      <c r="QEP22" s="65"/>
      <c r="QEQ22" s="65"/>
      <c r="QER22" s="65"/>
      <c r="QES22" s="65"/>
      <c r="QET22" s="65"/>
      <c r="QEU22" s="65"/>
      <c r="QEV22" s="65"/>
      <c r="QEW22" s="65"/>
      <c r="QEX22" s="65"/>
      <c r="QEY22" s="65"/>
      <c r="QEZ22" s="65"/>
      <c r="QFA22" s="65"/>
      <c r="QFB22" s="65"/>
      <c r="QFC22" s="65"/>
      <c r="QFD22" s="65"/>
      <c r="QFE22" s="65"/>
      <c r="QFF22" s="65"/>
      <c r="QFG22" s="65"/>
      <c r="QFH22" s="65"/>
      <c r="QFI22" s="65"/>
      <c r="QFJ22" s="65"/>
      <c r="QFK22" s="65"/>
      <c r="QFL22" s="65"/>
      <c r="QFM22" s="65"/>
      <c r="QFN22" s="65"/>
      <c r="QFO22" s="65"/>
      <c r="QFP22" s="65"/>
      <c r="QFQ22" s="65"/>
      <c r="QFR22" s="65"/>
      <c r="QFS22" s="65"/>
      <c r="QFT22" s="65"/>
      <c r="QFU22" s="65"/>
      <c r="QFV22" s="65"/>
      <c r="QFW22" s="65"/>
      <c r="QFX22" s="65"/>
      <c r="QFY22" s="65"/>
      <c r="QFZ22" s="65"/>
      <c r="QGA22" s="65"/>
      <c r="QGB22" s="65"/>
      <c r="QGC22" s="65"/>
      <c r="QGD22" s="65"/>
      <c r="QGE22" s="65"/>
      <c r="QGF22" s="65"/>
      <c r="QGG22" s="65"/>
      <c r="QGH22" s="65"/>
      <c r="QGI22" s="65"/>
      <c r="QGJ22" s="65"/>
      <c r="QGK22" s="65"/>
      <c r="QGL22" s="65"/>
      <c r="QGM22" s="65"/>
      <c r="QGN22" s="65"/>
      <c r="QGO22" s="65"/>
      <c r="QGP22" s="65"/>
      <c r="QGQ22" s="65"/>
      <c r="QGR22" s="65"/>
      <c r="QGS22" s="65"/>
      <c r="QGT22" s="65"/>
      <c r="QGU22" s="65"/>
      <c r="QGV22" s="65"/>
      <c r="QGW22" s="65"/>
      <c r="QGX22" s="65"/>
      <c r="QGY22" s="65"/>
      <c r="QGZ22" s="65"/>
      <c r="QHA22" s="65"/>
      <c r="QHB22" s="65"/>
      <c r="QHC22" s="65"/>
      <c r="QHD22" s="65"/>
      <c r="QHE22" s="65"/>
      <c r="QHF22" s="65"/>
      <c r="QHG22" s="65"/>
      <c r="QHH22" s="65"/>
      <c r="QHI22" s="65"/>
      <c r="QHJ22" s="65"/>
      <c r="QHK22" s="65"/>
      <c r="QHL22" s="65"/>
      <c r="QHM22" s="65"/>
      <c r="QHN22" s="65"/>
      <c r="QHO22" s="65"/>
      <c r="QHP22" s="65"/>
      <c r="QHQ22" s="65"/>
      <c r="QHR22" s="65"/>
      <c r="QHS22" s="65"/>
      <c r="QHT22" s="65"/>
      <c r="QHU22" s="65"/>
      <c r="QHV22" s="65"/>
      <c r="QHW22" s="65"/>
      <c r="QHX22" s="65"/>
      <c r="QHY22" s="65"/>
      <c r="QHZ22" s="65"/>
      <c r="QIA22" s="65"/>
      <c r="QIB22" s="65"/>
      <c r="QIC22" s="65"/>
      <c r="QID22" s="65"/>
      <c r="QIE22" s="65"/>
      <c r="QIF22" s="65"/>
      <c r="QIG22" s="65"/>
      <c r="QIH22" s="65"/>
      <c r="QII22" s="65"/>
      <c r="QIJ22" s="65"/>
      <c r="QIK22" s="65"/>
      <c r="QIL22" s="65"/>
      <c r="QIM22" s="65"/>
      <c r="QIN22" s="65"/>
      <c r="QIO22" s="65"/>
      <c r="QIP22" s="65"/>
      <c r="QIQ22" s="65"/>
      <c r="QIR22" s="65"/>
      <c r="QIS22" s="65"/>
      <c r="QIT22" s="65"/>
      <c r="QIU22" s="65"/>
      <c r="QIV22" s="65"/>
      <c r="QIW22" s="65"/>
      <c r="QIX22" s="65"/>
      <c r="QIY22" s="65"/>
      <c r="QIZ22" s="65"/>
      <c r="QJA22" s="65"/>
      <c r="QJB22" s="65"/>
      <c r="QJC22" s="65"/>
      <c r="QJD22" s="65"/>
      <c r="QJE22" s="65"/>
      <c r="QJF22" s="65"/>
      <c r="QJG22" s="65"/>
      <c r="QJH22" s="65"/>
      <c r="QJI22" s="65"/>
      <c r="QJJ22" s="65"/>
      <c r="QJK22" s="65"/>
      <c r="QJL22" s="65"/>
      <c r="QJM22" s="65"/>
      <c r="QJN22" s="65"/>
      <c r="QJO22" s="65"/>
      <c r="QJP22" s="65"/>
      <c r="QJQ22" s="65"/>
      <c r="QJR22" s="65"/>
      <c r="QJS22" s="65"/>
      <c r="QJT22" s="65"/>
      <c r="QJU22" s="65"/>
      <c r="QJV22" s="65"/>
      <c r="QJW22" s="65"/>
      <c r="QJX22" s="65"/>
      <c r="QJY22" s="65"/>
      <c r="QJZ22" s="65"/>
      <c r="QKA22" s="65"/>
      <c r="QKB22" s="65"/>
      <c r="QKC22" s="65"/>
      <c r="QKD22" s="65"/>
      <c r="QKE22" s="65"/>
      <c r="QKF22" s="65"/>
      <c r="QKG22" s="65"/>
      <c r="QKH22" s="65"/>
      <c r="QKI22" s="65"/>
      <c r="QKJ22" s="65"/>
      <c r="QKK22" s="65"/>
      <c r="QKL22" s="65"/>
      <c r="QKM22" s="65"/>
      <c r="QKN22" s="65"/>
      <c r="QKO22" s="65"/>
      <c r="QKP22" s="65"/>
      <c r="QKQ22" s="65"/>
      <c r="QKR22" s="65"/>
      <c r="QKS22" s="65"/>
      <c r="QKT22" s="65"/>
      <c r="QKU22" s="65"/>
      <c r="QKV22" s="65"/>
      <c r="QKW22" s="65"/>
      <c r="QKX22" s="65"/>
      <c r="QKY22" s="65"/>
      <c r="QKZ22" s="65"/>
      <c r="QLA22" s="65"/>
      <c r="QLB22" s="65"/>
      <c r="QLC22" s="65"/>
      <c r="QLD22" s="65"/>
      <c r="QLE22" s="65"/>
      <c r="QLF22" s="65"/>
      <c r="QLG22" s="65"/>
      <c r="QLH22" s="65"/>
      <c r="QLI22" s="65"/>
      <c r="QLJ22" s="65"/>
      <c r="QLK22" s="65"/>
      <c r="QLL22" s="65"/>
      <c r="QLM22" s="65"/>
      <c r="QLN22" s="65"/>
      <c r="QLO22" s="65"/>
      <c r="QLP22" s="65"/>
      <c r="QLQ22" s="65"/>
      <c r="QLR22" s="65"/>
      <c r="QLS22" s="65"/>
      <c r="QLT22" s="65"/>
      <c r="QLU22" s="65"/>
      <c r="QLV22" s="65"/>
      <c r="QLW22" s="65"/>
      <c r="QLX22" s="65"/>
      <c r="QLY22" s="65"/>
      <c r="QLZ22" s="65"/>
      <c r="QMA22" s="65"/>
      <c r="QMB22" s="65"/>
      <c r="QMC22" s="65"/>
      <c r="QMD22" s="65"/>
      <c r="QME22" s="65"/>
      <c r="QMF22" s="65"/>
      <c r="QMG22" s="65"/>
      <c r="QMH22" s="65"/>
      <c r="QMI22" s="65"/>
      <c r="QMJ22" s="65"/>
      <c r="QMK22" s="65"/>
      <c r="QML22" s="65"/>
      <c r="QMM22" s="65"/>
      <c r="QMN22" s="65"/>
      <c r="QMO22" s="65"/>
      <c r="QMP22" s="65"/>
      <c r="QMQ22" s="65"/>
      <c r="QMR22" s="65"/>
      <c r="QMS22" s="65"/>
      <c r="QMT22" s="65"/>
      <c r="QMU22" s="65"/>
      <c r="QMV22" s="65"/>
      <c r="QMW22" s="65"/>
      <c r="QMX22" s="65"/>
      <c r="QMY22" s="65"/>
      <c r="QMZ22" s="65"/>
      <c r="QNA22" s="65"/>
      <c r="QNB22" s="65"/>
      <c r="QNC22" s="65"/>
      <c r="QND22" s="65"/>
      <c r="QNE22" s="65"/>
      <c r="QNF22" s="65"/>
      <c r="QNG22" s="65"/>
      <c r="QNH22" s="65"/>
      <c r="QNI22" s="65"/>
      <c r="QNJ22" s="65"/>
      <c r="QNK22" s="65"/>
      <c r="QNL22" s="65"/>
      <c r="QNM22" s="65"/>
      <c r="QNN22" s="65"/>
      <c r="QNO22" s="65"/>
      <c r="QNP22" s="65"/>
      <c r="QNQ22" s="65"/>
      <c r="QNR22" s="65"/>
      <c r="QNS22" s="65"/>
      <c r="QNT22" s="65"/>
      <c r="QNU22" s="65"/>
      <c r="QNV22" s="65"/>
      <c r="QNW22" s="65"/>
      <c r="QNX22" s="65"/>
      <c r="QNY22" s="65"/>
      <c r="QNZ22" s="65"/>
      <c r="QOA22" s="65"/>
      <c r="QOB22" s="65"/>
      <c r="QOC22" s="65"/>
      <c r="QOD22" s="65"/>
      <c r="QOE22" s="65"/>
      <c r="QOF22" s="65"/>
      <c r="QOG22" s="65"/>
      <c r="QOH22" s="65"/>
      <c r="QOI22" s="65"/>
      <c r="QOJ22" s="65"/>
      <c r="QOK22" s="65"/>
      <c r="QOL22" s="65"/>
      <c r="QOM22" s="65"/>
      <c r="QON22" s="65"/>
      <c r="QOO22" s="65"/>
      <c r="QOP22" s="65"/>
      <c r="QOQ22" s="65"/>
      <c r="QOR22" s="65"/>
      <c r="QOS22" s="65"/>
      <c r="QOT22" s="65"/>
      <c r="QOU22" s="65"/>
      <c r="QOV22" s="65"/>
      <c r="QOW22" s="65"/>
      <c r="QOX22" s="65"/>
      <c r="QOY22" s="65"/>
      <c r="QOZ22" s="65"/>
      <c r="QPA22" s="65"/>
      <c r="QPB22" s="65"/>
      <c r="QPC22" s="65"/>
      <c r="QPD22" s="65"/>
      <c r="QPE22" s="65"/>
      <c r="QPF22" s="65"/>
      <c r="QPG22" s="65"/>
      <c r="QPH22" s="65"/>
      <c r="QPI22" s="65"/>
      <c r="QPJ22" s="65"/>
      <c r="QPK22" s="65"/>
      <c r="QPL22" s="65"/>
      <c r="QPM22" s="65"/>
      <c r="QPN22" s="65"/>
      <c r="QPO22" s="65"/>
      <c r="QPP22" s="65"/>
      <c r="QPQ22" s="65"/>
      <c r="QPR22" s="65"/>
      <c r="QPS22" s="65"/>
      <c r="QPT22" s="65"/>
      <c r="QPU22" s="65"/>
      <c r="QPV22" s="65"/>
      <c r="QPW22" s="65"/>
      <c r="QPX22" s="65"/>
      <c r="QPY22" s="65"/>
      <c r="QPZ22" s="65"/>
      <c r="QQA22" s="65"/>
      <c r="QQB22" s="65"/>
      <c r="QQC22" s="65"/>
      <c r="QQD22" s="65"/>
      <c r="QQE22" s="65"/>
      <c r="QQF22" s="65"/>
      <c r="QQG22" s="65"/>
      <c r="QQH22" s="65"/>
      <c r="QQI22" s="65"/>
      <c r="QQJ22" s="65"/>
      <c r="QQK22" s="65"/>
      <c r="QQL22" s="65"/>
      <c r="QQM22" s="65"/>
      <c r="QQN22" s="65"/>
      <c r="QQO22" s="65"/>
      <c r="QQP22" s="65"/>
      <c r="QQQ22" s="65"/>
      <c r="QQR22" s="65"/>
      <c r="QQS22" s="65"/>
      <c r="QQT22" s="65"/>
      <c r="QQU22" s="65"/>
      <c r="QQV22" s="65"/>
      <c r="QQW22" s="65"/>
      <c r="QQX22" s="65"/>
      <c r="QQY22" s="65"/>
      <c r="QQZ22" s="65"/>
      <c r="QRA22" s="65"/>
      <c r="QRB22" s="65"/>
      <c r="QRC22" s="65"/>
      <c r="QRD22" s="65"/>
      <c r="QRE22" s="65"/>
      <c r="QRF22" s="65"/>
      <c r="QRG22" s="65"/>
      <c r="QRH22" s="65"/>
      <c r="QRI22" s="65"/>
      <c r="QRJ22" s="65"/>
      <c r="QRK22" s="65"/>
      <c r="QRL22" s="65"/>
      <c r="QRM22" s="65"/>
      <c r="QRN22" s="65"/>
      <c r="QRO22" s="65"/>
      <c r="QRP22" s="65"/>
      <c r="QRQ22" s="65"/>
      <c r="QRR22" s="65"/>
      <c r="QRS22" s="65"/>
      <c r="QRT22" s="65"/>
      <c r="QRU22" s="65"/>
      <c r="QRV22" s="65"/>
      <c r="QRW22" s="65"/>
      <c r="QRX22" s="65"/>
      <c r="QRY22" s="65"/>
      <c r="QRZ22" s="65"/>
      <c r="QSA22" s="65"/>
      <c r="QSB22" s="65"/>
      <c r="QSC22" s="65"/>
      <c r="QSD22" s="65"/>
      <c r="QSE22" s="65"/>
      <c r="QSF22" s="65"/>
      <c r="QSG22" s="65"/>
      <c r="QSH22" s="65"/>
      <c r="QSI22" s="65"/>
      <c r="QSJ22" s="65"/>
      <c r="QSK22" s="65"/>
      <c r="QSL22" s="65"/>
      <c r="QSM22" s="65"/>
      <c r="QSN22" s="65"/>
      <c r="QSO22" s="65"/>
      <c r="QSP22" s="65"/>
      <c r="QSQ22" s="65"/>
      <c r="QSR22" s="65"/>
      <c r="QSS22" s="65"/>
      <c r="QST22" s="65"/>
      <c r="QSU22" s="65"/>
      <c r="QSV22" s="65"/>
      <c r="QSW22" s="65"/>
      <c r="QSX22" s="65"/>
      <c r="QSY22" s="65"/>
      <c r="QSZ22" s="65"/>
      <c r="QTA22" s="65"/>
      <c r="QTB22" s="65"/>
      <c r="QTC22" s="65"/>
      <c r="QTD22" s="65"/>
      <c r="QTE22" s="65"/>
      <c r="QTF22" s="65"/>
      <c r="QTG22" s="65"/>
      <c r="QTH22" s="65"/>
      <c r="QTI22" s="65"/>
      <c r="QTJ22" s="65"/>
      <c r="QTK22" s="65"/>
      <c r="QTL22" s="65"/>
      <c r="QTM22" s="65"/>
      <c r="QTN22" s="65"/>
      <c r="QTO22" s="65"/>
      <c r="QTP22" s="65"/>
      <c r="QTQ22" s="65"/>
      <c r="QTR22" s="65"/>
      <c r="QTS22" s="65"/>
      <c r="QTT22" s="65"/>
      <c r="QTU22" s="65"/>
      <c r="QTV22" s="65"/>
      <c r="QTW22" s="65"/>
      <c r="QTX22" s="65"/>
      <c r="QTY22" s="65"/>
      <c r="QTZ22" s="65"/>
      <c r="QUA22" s="65"/>
      <c r="QUB22" s="65"/>
      <c r="QUC22" s="65"/>
      <c r="QUD22" s="65"/>
      <c r="QUE22" s="65"/>
      <c r="QUF22" s="65"/>
      <c r="QUG22" s="65"/>
      <c r="QUH22" s="65"/>
      <c r="QUI22" s="65"/>
      <c r="QUJ22" s="65"/>
      <c r="QUK22" s="65"/>
      <c r="QUL22" s="65"/>
      <c r="QUM22" s="65"/>
      <c r="QUN22" s="65"/>
      <c r="QUO22" s="65"/>
      <c r="QUP22" s="65"/>
      <c r="QUQ22" s="65"/>
      <c r="QUR22" s="65"/>
      <c r="QUS22" s="65"/>
      <c r="QUT22" s="65"/>
      <c r="QUU22" s="65"/>
      <c r="QUV22" s="65"/>
      <c r="QUW22" s="65"/>
      <c r="QUX22" s="65"/>
      <c r="QUY22" s="65"/>
      <c r="QUZ22" s="65"/>
      <c r="QVA22" s="65"/>
      <c r="QVB22" s="65"/>
      <c r="QVC22" s="65"/>
      <c r="QVD22" s="65"/>
      <c r="QVE22" s="65"/>
      <c r="QVF22" s="65"/>
      <c r="QVG22" s="65"/>
      <c r="QVH22" s="65"/>
      <c r="QVI22" s="65"/>
      <c r="QVJ22" s="65"/>
      <c r="QVK22" s="65"/>
      <c r="QVL22" s="65"/>
      <c r="QVM22" s="65"/>
      <c r="QVN22" s="65"/>
      <c r="QVO22" s="65"/>
      <c r="QVP22" s="65"/>
      <c r="QVQ22" s="65"/>
      <c r="QVR22" s="65"/>
      <c r="QVS22" s="65"/>
      <c r="QVT22" s="65"/>
      <c r="QVU22" s="65"/>
      <c r="QVV22" s="65"/>
      <c r="QVW22" s="65"/>
      <c r="QVX22" s="65"/>
      <c r="QVY22" s="65"/>
      <c r="QVZ22" s="65"/>
      <c r="QWA22" s="65"/>
      <c r="QWB22" s="65"/>
      <c r="QWC22" s="65"/>
      <c r="QWD22" s="65"/>
      <c r="QWE22" s="65"/>
      <c r="QWF22" s="65"/>
      <c r="QWG22" s="65"/>
      <c r="QWH22" s="65"/>
      <c r="QWI22" s="65"/>
      <c r="QWJ22" s="65"/>
      <c r="QWK22" s="65"/>
      <c r="QWL22" s="65"/>
      <c r="QWM22" s="65"/>
      <c r="QWN22" s="65"/>
      <c r="QWO22" s="65"/>
      <c r="QWP22" s="65"/>
      <c r="QWQ22" s="65"/>
      <c r="QWR22" s="65"/>
      <c r="QWS22" s="65"/>
      <c r="QWT22" s="65"/>
      <c r="QWU22" s="65"/>
      <c r="QWV22" s="65"/>
      <c r="QWW22" s="65"/>
      <c r="QWX22" s="65"/>
      <c r="QWY22" s="65"/>
      <c r="QWZ22" s="65"/>
      <c r="QXA22" s="65"/>
      <c r="QXB22" s="65"/>
      <c r="QXC22" s="65"/>
      <c r="QXD22" s="65"/>
      <c r="QXE22" s="65"/>
      <c r="QXF22" s="65"/>
      <c r="QXG22" s="65"/>
      <c r="QXH22" s="65"/>
      <c r="QXI22" s="65"/>
      <c r="QXJ22" s="65"/>
      <c r="QXK22" s="65"/>
      <c r="QXL22" s="65"/>
      <c r="QXM22" s="65"/>
      <c r="QXN22" s="65"/>
      <c r="QXO22" s="65"/>
      <c r="QXP22" s="65"/>
      <c r="QXQ22" s="65"/>
      <c r="QXR22" s="65"/>
      <c r="QXS22" s="65"/>
      <c r="QXT22" s="65"/>
      <c r="QXU22" s="65"/>
      <c r="QXV22" s="65"/>
      <c r="QXW22" s="65"/>
      <c r="QXX22" s="65"/>
      <c r="QXY22" s="65"/>
      <c r="QXZ22" s="65"/>
      <c r="QYA22" s="65"/>
      <c r="QYB22" s="65"/>
      <c r="QYC22" s="65"/>
      <c r="QYD22" s="65"/>
      <c r="QYE22" s="65"/>
      <c r="QYF22" s="65"/>
      <c r="QYG22" s="65"/>
      <c r="QYH22" s="65"/>
      <c r="QYI22" s="65"/>
      <c r="QYJ22" s="65"/>
      <c r="QYK22" s="65"/>
      <c r="QYL22" s="65"/>
      <c r="QYM22" s="65"/>
      <c r="QYN22" s="65"/>
      <c r="QYO22" s="65"/>
      <c r="QYP22" s="65"/>
      <c r="QYQ22" s="65"/>
      <c r="QYR22" s="65"/>
      <c r="QYS22" s="65"/>
      <c r="QYT22" s="65"/>
      <c r="QYU22" s="65"/>
      <c r="QYV22" s="65"/>
      <c r="QYW22" s="65"/>
      <c r="QYX22" s="65"/>
      <c r="QYY22" s="65"/>
      <c r="QYZ22" s="65"/>
      <c r="QZA22" s="65"/>
      <c r="QZB22" s="65"/>
      <c r="QZC22" s="65"/>
      <c r="QZD22" s="65"/>
      <c r="QZE22" s="65"/>
      <c r="QZF22" s="65"/>
      <c r="QZG22" s="65"/>
      <c r="QZH22" s="65"/>
      <c r="QZI22" s="65"/>
      <c r="QZJ22" s="65"/>
      <c r="QZK22" s="65"/>
      <c r="QZL22" s="65"/>
      <c r="QZM22" s="65"/>
      <c r="QZN22" s="65"/>
      <c r="QZO22" s="65"/>
      <c r="QZP22" s="65"/>
      <c r="QZQ22" s="65"/>
      <c r="QZR22" s="65"/>
      <c r="QZS22" s="65"/>
      <c r="QZT22" s="65"/>
      <c r="QZU22" s="65"/>
      <c r="QZV22" s="65"/>
      <c r="QZW22" s="65"/>
      <c r="QZX22" s="65"/>
      <c r="QZY22" s="65"/>
      <c r="QZZ22" s="65"/>
      <c r="RAA22" s="65"/>
      <c r="RAB22" s="65"/>
      <c r="RAC22" s="65"/>
      <c r="RAD22" s="65"/>
      <c r="RAE22" s="65"/>
      <c r="RAF22" s="65"/>
      <c r="RAG22" s="65"/>
      <c r="RAH22" s="65"/>
      <c r="RAI22" s="65"/>
      <c r="RAJ22" s="65"/>
      <c r="RAK22" s="65"/>
      <c r="RAL22" s="65"/>
      <c r="RAM22" s="65"/>
      <c r="RAN22" s="65"/>
      <c r="RAO22" s="65"/>
      <c r="RAP22" s="65"/>
      <c r="RAQ22" s="65"/>
      <c r="RAR22" s="65"/>
      <c r="RAS22" s="65"/>
      <c r="RAT22" s="65"/>
      <c r="RAU22" s="65"/>
      <c r="RAV22" s="65"/>
      <c r="RAW22" s="65"/>
      <c r="RAX22" s="65"/>
      <c r="RAY22" s="65"/>
      <c r="RAZ22" s="65"/>
      <c r="RBA22" s="65"/>
      <c r="RBB22" s="65"/>
      <c r="RBC22" s="65"/>
      <c r="RBD22" s="65"/>
      <c r="RBE22" s="65"/>
      <c r="RBF22" s="65"/>
      <c r="RBG22" s="65"/>
      <c r="RBH22" s="65"/>
      <c r="RBI22" s="65"/>
      <c r="RBJ22" s="65"/>
      <c r="RBK22" s="65"/>
      <c r="RBL22" s="65"/>
      <c r="RBM22" s="65"/>
      <c r="RBN22" s="65"/>
      <c r="RBO22" s="65"/>
      <c r="RBP22" s="65"/>
      <c r="RBQ22" s="65"/>
      <c r="RBR22" s="65"/>
      <c r="RBS22" s="65"/>
      <c r="RBT22" s="65"/>
      <c r="RBU22" s="65"/>
      <c r="RBV22" s="65"/>
      <c r="RBW22" s="65"/>
      <c r="RBX22" s="65"/>
      <c r="RBY22" s="65"/>
      <c r="RBZ22" s="65"/>
      <c r="RCA22" s="65"/>
      <c r="RCB22" s="65"/>
      <c r="RCC22" s="65"/>
      <c r="RCD22" s="65"/>
      <c r="RCE22" s="65"/>
      <c r="RCF22" s="65"/>
      <c r="RCG22" s="65"/>
      <c r="RCH22" s="65"/>
      <c r="RCI22" s="65"/>
      <c r="RCJ22" s="65"/>
      <c r="RCK22" s="65"/>
      <c r="RCL22" s="65"/>
      <c r="RCM22" s="65"/>
      <c r="RCN22" s="65"/>
      <c r="RCO22" s="65"/>
      <c r="RCP22" s="65"/>
      <c r="RCQ22" s="65"/>
      <c r="RCR22" s="65"/>
      <c r="RCS22" s="65"/>
      <c r="RCT22" s="65"/>
      <c r="RCU22" s="65"/>
      <c r="RCV22" s="65"/>
      <c r="RCW22" s="65"/>
      <c r="RCX22" s="65"/>
      <c r="RCY22" s="65"/>
      <c r="RCZ22" s="65"/>
      <c r="RDA22" s="65"/>
      <c r="RDB22" s="65"/>
      <c r="RDC22" s="65"/>
      <c r="RDD22" s="65"/>
      <c r="RDE22" s="65"/>
      <c r="RDF22" s="65"/>
      <c r="RDG22" s="65"/>
      <c r="RDH22" s="65"/>
      <c r="RDI22" s="65"/>
      <c r="RDJ22" s="65"/>
      <c r="RDK22" s="65"/>
      <c r="RDL22" s="65"/>
      <c r="RDM22" s="65"/>
      <c r="RDN22" s="65"/>
      <c r="RDO22" s="65"/>
      <c r="RDP22" s="65"/>
      <c r="RDQ22" s="65"/>
      <c r="RDR22" s="65"/>
      <c r="RDS22" s="65"/>
      <c r="RDT22" s="65"/>
      <c r="RDU22" s="65"/>
      <c r="RDV22" s="65"/>
      <c r="RDW22" s="65"/>
      <c r="RDX22" s="65"/>
      <c r="RDY22" s="65"/>
      <c r="RDZ22" s="65"/>
      <c r="REA22" s="65"/>
      <c r="REB22" s="65"/>
      <c r="REC22" s="65"/>
      <c r="RED22" s="65"/>
      <c r="REE22" s="65"/>
      <c r="REF22" s="65"/>
      <c r="REG22" s="65"/>
      <c r="REH22" s="65"/>
      <c r="REI22" s="65"/>
      <c r="REJ22" s="65"/>
      <c r="REK22" s="65"/>
      <c r="REL22" s="65"/>
      <c r="REM22" s="65"/>
      <c r="REN22" s="65"/>
      <c r="REO22" s="65"/>
      <c r="REP22" s="65"/>
      <c r="REQ22" s="65"/>
      <c r="RER22" s="65"/>
      <c r="RES22" s="65"/>
      <c r="RET22" s="65"/>
      <c r="REU22" s="65"/>
      <c r="REV22" s="65"/>
      <c r="REW22" s="65"/>
      <c r="REX22" s="65"/>
      <c r="REY22" s="65"/>
      <c r="REZ22" s="65"/>
      <c r="RFA22" s="65"/>
      <c r="RFB22" s="65"/>
      <c r="RFC22" s="65"/>
      <c r="RFD22" s="65"/>
      <c r="RFE22" s="65"/>
      <c r="RFF22" s="65"/>
      <c r="RFG22" s="65"/>
      <c r="RFH22" s="65"/>
      <c r="RFI22" s="65"/>
      <c r="RFJ22" s="65"/>
      <c r="RFK22" s="65"/>
      <c r="RFL22" s="65"/>
      <c r="RFM22" s="65"/>
      <c r="RFN22" s="65"/>
      <c r="RFO22" s="65"/>
      <c r="RFP22" s="65"/>
      <c r="RFQ22" s="65"/>
      <c r="RFR22" s="65"/>
      <c r="RFS22" s="65"/>
      <c r="RFT22" s="65"/>
      <c r="RFU22" s="65"/>
      <c r="RFV22" s="65"/>
      <c r="RFW22" s="65"/>
      <c r="RFX22" s="65"/>
      <c r="RFY22" s="65"/>
      <c r="RFZ22" s="65"/>
      <c r="RGA22" s="65"/>
      <c r="RGB22" s="65"/>
      <c r="RGC22" s="65"/>
      <c r="RGD22" s="65"/>
      <c r="RGE22" s="65"/>
      <c r="RGF22" s="65"/>
      <c r="RGG22" s="65"/>
      <c r="RGH22" s="65"/>
      <c r="RGI22" s="65"/>
      <c r="RGJ22" s="65"/>
      <c r="RGK22" s="65"/>
      <c r="RGL22" s="65"/>
      <c r="RGM22" s="65"/>
      <c r="RGN22" s="65"/>
      <c r="RGO22" s="65"/>
      <c r="RGP22" s="65"/>
      <c r="RGQ22" s="65"/>
      <c r="RGR22" s="65"/>
      <c r="RGS22" s="65"/>
      <c r="RGT22" s="65"/>
      <c r="RGU22" s="65"/>
      <c r="RGV22" s="65"/>
      <c r="RGW22" s="65"/>
      <c r="RGX22" s="65"/>
      <c r="RGY22" s="65"/>
      <c r="RGZ22" s="65"/>
      <c r="RHA22" s="65"/>
      <c r="RHB22" s="65"/>
      <c r="RHC22" s="65"/>
      <c r="RHD22" s="65"/>
      <c r="RHE22" s="65"/>
      <c r="RHF22" s="65"/>
      <c r="RHG22" s="65"/>
      <c r="RHH22" s="65"/>
      <c r="RHI22" s="65"/>
      <c r="RHJ22" s="65"/>
      <c r="RHK22" s="65"/>
      <c r="RHL22" s="65"/>
      <c r="RHM22" s="65"/>
      <c r="RHN22" s="65"/>
      <c r="RHO22" s="65"/>
      <c r="RHP22" s="65"/>
      <c r="RHQ22" s="65"/>
      <c r="RHR22" s="65"/>
      <c r="RHS22" s="65"/>
      <c r="RHT22" s="65"/>
      <c r="RHU22" s="65"/>
      <c r="RHV22" s="65"/>
      <c r="RHW22" s="65"/>
      <c r="RHX22" s="65"/>
      <c r="RHY22" s="65"/>
      <c r="RHZ22" s="65"/>
      <c r="RIA22" s="65"/>
      <c r="RIB22" s="65"/>
      <c r="RIC22" s="65"/>
      <c r="RID22" s="65"/>
      <c r="RIE22" s="65"/>
      <c r="RIF22" s="65"/>
      <c r="RIG22" s="65"/>
      <c r="RIH22" s="65"/>
      <c r="RII22" s="65"/>
      <c r="RIJ22" s="65"/>
      <c r="RIK22" s="65"/>
      <c r="RIL22" s="65"/>
      <c r="RIM22" s="65"/>
      <c r="RIN22" s="65"/>
      <c r="RIO22" s="65"/>
      <c r="RIP22" s="65"/>
      <c r="RIQ22" s="65"/>
      <c r="RIR22" s="65"/>
      <c r="RIS22" s="65"/>
      <c r="RIT22" s="65"/>
      <c r="RIU22" s="65"/>
      <c r="RIV22" s="65"/>
      <c r="RIW22" s="65"/>
      <c r="RIX22" s="65"/>
      <c r="RIY22" s="65"/>
      <c r="RIZ22" s="65"/>
      <c r="RJA22" s="65"/>
      <c r="RJB22" s="65"/>
      <c r="RJC22" s="65"/>
      <c r="RJD22" s="65"/>
      <c r="RJE22" s="65"/>
      <c r="RJF22" s="65"/>
      <c r="RJG22" s="65"/>
      <c r="RJH22" s="65"/>
      <c r="RJI22" s="65"/>
      <c r="RJJ22" s="65"/>
      <c r="RJK22" s="65"/>
      <c r="RJL22" s="65"/>
      <c r="RJM22" s="65"/>
      <c r="RJN22" s="65"/>
      <c r="RJO22" s="65"/>
      <c r="RJP22" s="65"/>
      <c r="RJQ22" s="65"/>
      <c r="RJR22" s="65"/>
      <c r="RJS22" s="65"/>
      <c r="RJT22" s="65"/>
      <c r="RJU22" s="65"/>
      <c r="RJV22" s="65"/>
      <c r="RJW22" s="65"/>
      <c r="RJX22" s="65"/>
      <c r="RJY22" s="65"/>
      <c r="RJZ22" s="65"/>
      <c r="RKA22" s="65"/>
      <c r="RKB22" s="65"/>
      <c r="RKC22" s="65"/>
      <c r="RKD22" s="65"/>
      <c r="RKE22" s="65"/>
      <c r="RKF22" s="65"/>
      <c r="RKG22" s="65"/>
      <c r="RKH22" s="65"/>
      <c r="RKI22" s="65"/>
      <c r="RKJ22" s="65"/>
      <c r="RKK22" s="65"/>
      <c r="RKL22" s="65"/>
      <c r="RKM22" s="65"/>
      <c r="RKN22" s="65"/>
      <c r="RKO22" s="65"/>
      <c r="RKP22" s="65"/>
      <c r="RKQ22" s="65"/>
      <c r="RKR22" s="65"/>
      <c r="RKS22" s="65"/>
      <c r="RKT22" s="65"/>
      <c r="RKU22" s="65"/>
      <c r="RKV22" s="65"/>
      <c r="RKW22" s="65"/>
      <c r="RKX22" s="65"/>
      <c r="RKY22" s="65"/>
      <c r="RKZ22" s="65"/>
      <c r="RLA22" s="65"/>
      <c r="RLB22" s="65"/>
      <c r="RLC22" s="65"/>
      <c r="RLD22" s="65"/>
      <c r="RLE22" s="65"/>
      <c r="RLF22" s="65"/>
      <c r="RLG22" s="65"/>
      <c r="RLH22" s="65"/>
      <c r="RLI22" s="65"/>
      <c r="RLJ22" s="65"/>
      <c r="RLK22" s="65"/>
      <c r="RLL22" s="65"/>
      <c r="RLM22" s="65"/>
      <c r="RLN22" s="65"/>
      <c r="RLO22" s="65"/>
      <c r="RLP22" s="65"/>
      <c r="RLQ22" s="65"/>
      <c r="RLR22" s="65"/>
      <c r="RLS22" s="65"/>
      <c r="RLT22" s="65"/>
      <c r="RLU22" s="65"/>
      <c r="RLV22" s="65"/>
      <c r="RLW22" s="65"/>
      <c r="RLX22" s="65"/>
      <c r="RLY22" s="65"/>
      <c r="RLZ22" s="65"/>
      <c r="RMA22" s="65"/>
      <c r="RMB22" s="65"/>
      <c r="RMC22" s="65"/>
      <c r="RMD22" s="65"/>
      <c r="RME22" s="65"/>
      <c r="RMF22" s="65"/>
      <c r="RMG22" s="65"/>
      <c r="RMH22" s="65"/>
      <c r="RMI22" s="65"/>
      <c r="RMJ22" s="65"/>
      <c r="RMK22" s="65"/>
      <c r="RML22" s="65"/>
      <c r="RMM22" s="65"/>
      <c r="RMN22" s="65"/>
      <c r="RMO22" s="65"/>
      <c r="RMP22" s="65"/>
      <c r="RMQ22" s="65"/>
      <c r="RMR22" s="65"/>
      <c r="RMS22" s="65"/>
      <c r="RMT22" s="65"/>
      <c r="RMU22" s="65"/>
      <c r="RMV22" s="65"/>
      <c r="RMW22" s="65"/>
      <c r="RMX22" s="65"/>
      <c r="RMY22" s="65"/>
      <c r="RMZ22" s="65"/>
      <c r="RNA22" s="65"/>
      <c r="RNB22" s="65"/>
      <c r="RNC22" s="65"/>
      <c r="RND22" s="65"/>
      <c r="RNE22" s="65"/>
      <c r="RNF22" s="65"/>
      <c r="RNG22" s="65"/>
      <c r="RNH22" s="65"/>
      <c r="RNI22" s="65"/>
      <c r="RNJ22" s="65"/>
      <c r="RNK22" s="65"/>
      <c r="RNL22" s="65"/>
      <c r="RNM22" s="65"/>
      <c r="RNN22" s="65"/>
      <c r="RNO22" s="65"/>
      <c r="RNP22" s="65"/>
      <c r="RNQ22" s="65"/>
      <c r="RNR22" s="65"/>
      <c r="RNS22" s="65"/>
      <c r="RNT22" s="65"/>
      <c r="RNU22" s="65"/>
      <c r="RNV22" s="65"/>
      <c r="RNW22" s="65"/>
      <c r="RNX22" s="65"/>
      <c r="RNY22" s="65"/>
      <c r="RNZ22" s="65"/>
      <c r="ROA22" s="65"/>
      <c r="ROB22" s="65"/>
      <c r="ROC22" s="65"/>
      <c r="ROD22" s="65"/>
      <c r="ROE22" s="65"/>
      <c r="ROF22" s="65"/>
      <c r="ROG22" s="65"/>
      <c r="ROH22" s="65"/>
      <c r="ROI22" s="65"/>
      <c r="ROJ22" s="65"/>
      <c r="ROK22" s="65"/>
      <c r="ROL22" s="65"/>
      <c r="ROM22" s="65"/>
      <c r="RON22" s="65"/>
      <c r="ROO22" s="65"/>
      <c r="ROP22" s="65"/>
      <c r="ROQ22" s="65"/>
      <c r="ROR22" s="65"/>
      <c r="ROS22" s="65"/>
      <c r="ROT22" s="65"/>
      <c r="ROU22" s="65"/>
      <c r="ROV22" s="65"/>
      <c r="ROW22" s="65"/>
      <c r="ROX22" s="65"/>
      <c r="ROY22" s="65"/>
      <c r="ROZ22" s="65"/>
      <c r="RPA22" s="65"/>
      <c r="RPB22" s="65"/>
      <c r="RPC22" s="65"/>
      <c r="RPD22" s="65"/>
      <c r="RPE22" s="65"/>
      <c r="RPF22" s="65"/>
      <c r="RPG22" s="65"/>
      <c r="RPH22" s="65"/>
      <c r="RPI22" s="65"/>
      <c r="RPJ22" s="65"/>
      <c r="RPK22" s="65"/>
      <c r="RPL22" s="65"/>
      <c r="RPM22" s="65"/>
      <c r="RPN22" s="65"/>
      <c r="RPO22" s="65"/>
      <c r="RPP22" s="65"/>
      <c r="RPQ22" s="65"/>
      <c r="RPR22" s="65"/>
      <c r="RPS22" s="65"/>
      <c r="RPT22" s="65"/>
      <c r="RPU22" s="65"/>
      <c r="RPV22" s="65"/>
      <c r="RPW22" s="65"/>
      <c r="RPX22" s="65"/>
      <c r="RPY22" s="65"/>
      <c r="RPZ22" s="65"/>
      <c r="RQA22" s="65"/>
      <c r="RQB22" s="65"/>
      <c r="RQC22" s="65"/>
      <c r="RQD22" s="65"/>
      <c r="RQE22" s="65"/>
      <c r="RQF22" s="65"/>
      <c r="RQG22" s="65"/>
      <c r="RQH22" s="65"/>
      <c r="RQI22" s="65"/>
      <c r="RQJ22" s="65"/>
      <c r="RQK22" s="65"/>
      <c r="RQL22" s="65"/>
      <c r="RQM22" s="65"/>
      <c r="RQN22" s="65"/>
      <c r="RQO22" s="65"/>
      <c r="RQP22" s="65"/>
      <c r="RQQ22" s="65"/>
      <c r="RQR22" s="65"/>
      <c r="RQS22" s="65"/>
      <c r="RQT22" s="65"/>
      <c r="RQU22" s="65"/>
      <c r="RQV22" s="65"/>
      <c r="RQW22" s="65"/>
      <c r="RQX22" s="65"/>
      <c r="RQY22" s="65"/>
      <c r="RQZ22" s="65"/>
      <c r="RRA22" s="65"/>
      <c r="RRB22" s="65"/>
      <c r="RRC22" s="65"/>
      <c r="RRD22" s="65"/>
      <c r="RRE22" s="65"/>
      <c r="RRF22" s="65"/>
      <c r="RRG22" s="65"/>
      <c r="RRH22" s="65"/>
      <c r="RRI22" s="65"/>
      <c r="RRJ22" s="65"/>
      <c r="RRK22" s="65"/>
      <c r="RRL22" s="65"/>
      <c r="RRM22" s="65"/>
      <c r="RRN22" s="65"/>
      <c r="RRO22" s="65"/>
      <c r="RRP22" s="65"/>
      <c r="RRQ22" s="65"/>
      <c r="RRR22" s="65"/>
      <c r="RRS22" s="65"/>
      <c r="RRT22" s="65"/>
      <c r="RRU22" s="65"/>
      <c r="RRV22" s="65"/>
      <c r="RRW22" s="65"/>
      <c r="RRX22" s="65"/>
      <c r="RRY22" s="65"/>
      <c r="RRZ22" s="65"/>
      <c r="RSA22" s="65"/>
      <c r="RSB22" s="65"/>
      <c r="RSC22" s="65"/>
      <c r="RSD22" s="65"/>
      <c r="RSE22" s="65"/>
      <c r="RSF22" s="65"/>
      <c r="RSG22" s="65"/>
      <c r="RSH22" s="65"/>
      <c r="RSI22" s="65"/>
      <c r="RSJ22" s="65"/>
      <c r="RSK22" s="65"/>
      <c r="RSL22" s="65"/>
      <c r="RSM22" s="65"/>
      <c r="RSN22" s="65"/>
      <c r="RSO22" s="65"/>
      <c r="RSP22" s="65"/>
      <c r="RSQ22" s="65"/>
      <c r="RSR22" s="65"/>
      <c r="RSS22" s="65"/>
      <c r="RST22" s="65"/>
      <c r="RSU22" s="65"/>
      <c r="RSV22" s="65"/>
      <c r="RSW22" s="65"/>
      <c r="RSX22" s="65"/>
      <c r="RSY22" s="65"/>
      <c r="RSZ22" s="65"/>
      <c r="RTA22" s="65"/>
      <c r="RTB22" s="65"/>
      <c r="RTC22" s="65"/>
      <c r="RTD22" s="65"/>
      <c r="RTE22" s="65"/>
      <c r="RTF22" s="65"/>
      <c r="RTG22" s="65"/>
      <c r="RTH22" s="65"/>
      <c r="RTI22" s="65"/>
      <c r="RTJ22" s="65"/>
      <c r="RTK22" s="65"/>
      <c r="RTL22" s="65"/>
      <c r="RTM22" s="65"/>
      <c r="RTN22" s="65"/>
      <c r="RTO22" s="65"/>
      <c r="RTP22" s="65"/>
      <c r="RTQ22" s="65"/>
      <c r="RTR22" s="65"/>
      <c r="RTS22" s="65"/>
      <c r="RTT22" s="65"/>
      <c r="RTU22" s="65"/>
      <c r="RTV22" s="65"/>
      <c r="RTW22" s="65"/>
      <c r="RTX22" s="65"/>
      <c r="RTY22" s="65"/>
      <c r="RTZ22" s="65"/>
      <c r="RUA22" s="65"/>
      <c r="RUB22" s="65"/>
      <c r="RUC22" s="65"/>
      <c r="RUD22" s="65"/>
      <c r="RUE22" s="65"/>
      <c r="RUF22" s="65"/>
      <c r="RUG22" s="65"/>
      <c r="RUH22" s="65"/>
      <c r="RUI22" s="65"/>
      <c r="RUJ22" s="65"/>
      <c r="RUK22" s="65"/>
      <c r="RUL22" s="65"/>
      <c r="RUM22" s="65"/>
      <c r="RUN22" s="65"/>
      <c r="RUO22" s="65"/>
      <c r="RUP22" s="65"/>
      <c r="RUQ22" s="65"/>
      <c r="RUR22" s="65"/>
      <c r="RUS22" s="65"/>
      <c r="RUT22" s="65"/>
      <c r="RUU22" s="65"/>
      <c r="RUV22" s="65"/>
      <c r="RUW22" s="65"/>
      <c r="RUX22" s="65"/>
      <c r="RUY22" s="65"/>
      <c r="RUZ22" s="65"/>
      <c r="RVA22" s="65"/>
      <c r="RVB22" s="65"/>
      <c r="RVC22" s="65"/>
      <c r="RVD22" s="65"/>
      <c r="RVE22" s="65"/>
      <c r="RVF22" s="65"/>
      <c r="RVG22" s="65"/>
      <c r="RVH22" s="65"/>
      <c r="RVI22" s="65"/>
      <c r="RVJ22" s="65"/>
      <c r="RVK22" s="65"/>
      <c r="RVL22" s="65"/>
      <c r="RVM22" s="65"/>
      <c r="RVN22" s="65"/>
      <c r="RVO22" s="65"/>
      <c r="RVP22" s="65"/>
      <c r="RVQ22" s="65"/>
      <c r="RVR22" s="65"/>
      <c r="RVS22" s="65"/>
      <c r="RVT22" s="65"/>
      <c r="RVU22" s="65"/>
      <c r="RVV22" s="65"/>
      <c r="RVW22" s="65"/>
      <c r="RVX22" s="65"/>
      <c r="RVY22" s="65"/>
      <c r="RVZ22" s="65"/>
      <c r="RWA22" s="65"/>
      <c r="RWB22" s="65"/>
      <c r="RWC22" s="65"/>
      <c r="RWD22" s="65"/>
      <c r="RWE22" s="65"/>
      <c r="RWF22" s="65"/>
      <c r="RWG22" s="65"/>
      <c r="RWH22" s="65"/>
      <c r="RWI22" s="65"/>
      <c r="RWJ22" s="65"/>
      <c r="RWK22" s="65"/>
      <c r="RWL22" s="65"/>
      <c r="RWM22" s="65"/>
      <c r="RWN22" s="65"/>
      <c r="RWO22" s="65"/>
      <c r="RWP22" s="65"/>
      <c r="RWQ22" s="65"/>
      <c r="RWR22" s="65"/>
      <c r="RWS22" s="65"/>
      <c r="RWT22" s="65"/>
      <c r="RWU22" s="65"/>
      <c r="RWV22" s="65"/>
      <c r="RWW22" s="65"/>
      <c r="RWX22" s="65"/>
      <c r="RWY22" s="65"/>
      <c r="RWZ22" s="65"/>
      <c r="RXA22" s="65"/>
      <c r="RXB22" s="65"/>
      <c r="RXC22" s="65"/>
      <c r="RXD22" s="65"/>
      <c r="RXE22" s="65"/>
      <c r="RXF22" s="65"/>
      <c r="RXG22" s="65"/>
      <c r="RXH22" s="65"/>
      <c r="RXI22" s="65"/>
      <c r="RXJ22" s="65"/>
      <c r="RXK22" s="65"/>
      <c r="RXL22" s="65"/>
      <c r="RXM22" s="65"/>
      <c r="RXN22" s="65"/>
      <c r="RXO22" s="65"/>
      <c r="RXP22" s="65"/>
      <c r="RXQ22" s="65"/>
      <c r="RXR22" s="65"/>
      <c r="RXS22" s="65"/>
      <c r="RXT22" s="65"/>
      <c r="RXU22" s="65"/>
      <c r="RXV22" s="65"/>
      <c r="RXW22" s="65"/>
      <c r="RXX22" s="65"/>
      <c r="RXY22" s="65"/>
      <c r="RXZ22" s="65"/>
      <c r="RYA22" s="65"/>
      <c r="RYB22" s="65"/>
      <c r="RYC22" s="65"/>
      <c r="RYD22" s="65"/>
      <c r="RYE22" s="65"/>
      <c r="RYF22" s="65"/>
      <c r="RYG22" s="65"/>
      <c r="RYH22" s="65"/>
      <c r="RYI22" s="65"/>
      <c r="RYJ22" s="65"/>
      <c r="RYK22" s="65"/>
      <c r="RYL22" s="65"/>
      <c r="RYM22" s="65"/>
      <c r="RYN22" s="65"/>
      <c r="RYO22" s="65"/>
      <c r="RYP22" s="65"/>
      <c r="RYQ22" s="65"/>
      <c r="RYR22" s="65"/>
      <c r="RYS22" s="65"/>
      <c r="RYT22" s="65"/>
      <c r="RYU22" s="65"/>
      <c r="RYV22" s="65"/>
      <c r="RYW22" s="65"/>
      <c r="RYX22" s="65"/>
      <c r="RYY22" s="65"/>
      <c r="RYZ22" s="65"/>
      <c r="RZA22" s="65"/>
      <c r="RZB22" s="65"/>
      <c r="RZC22" s="65"/>
      <c r="RZD22" s="65"/>
      <c r="RZE22" s="65"/>
      <c r="RZF22" s="65"/>
      <c r="RZG22" s="65"/>
      <c r="RZH22" s="65"/>
      <c r="RZI22" s="65"/>
      <c r="RZJ22" s="65"/>
      <c r="RZK22" s="65"/>
      <c r="RZL22" s="65"/>
      <c r="RZM22" s="65"/>
      <c r="RZN22" s="65"/>
      <c r="RZO22" s="65"/>
      <c r="RZP22" s="65"/>
      <c r="RZQ22" s="65"/>
      <c r="RZR22" s="65"/>
      <c r="RZS22" s="65"/>
      <c r="RZT22" s="65"/>
      <c r="RZU22" s="65"/>
      <c r="RZV22" s="65"/>
      <c r="RZW22" s="65"/>
      <c r="RZX22" s="65"/>
      <c r="RZY22" s="65"/>
      <c r="RZZ22" s="65"/>
      <c r="SAA22" s="65"/>
      <c r="SAB22" s="65"/>
      <c r="SAC22" s="65"/>
      <c r="SAD22" s="65"/>
      <c r="SAE22" s="65"/>
      <c r="SAF22" s="65"/>
      <c r="SAG22" s="65"/>
      <c r="SAH22" s="65"/>
      <c r="SAI22" s="65"/>
      <c r="SAJ22" s="65"/>
      <c r="SAK22" s="65"/>
      <c r="SAL22" s="65"/>
      <c r="SAM22" s="65"/>
      <c r="SAN22" s="65"/>
      <c r="SAO22" s="65"/>
      <c r="SAP22" s="65"/>
      <c r="SAQ22" s="65"/>
      <c r="SAR22" s="65"/>
      <c r="SAS22" s="65"/>
      <c r="SAT22" s="65"/>
      <c r="SAU22" s="65"/>
      <c r="SAV22" s="65"/>
      <c r="SAW22" s="65"/>
      <c r="SAX22" s="65"/>
      <c r="SAY22" s="65"/>
      <c r="SAZ22" s="65"/>
      <c r="SBA22" s="65"/>
      <c r="SBB22" s="65"/>
      <c r="SBC22" s="65"/>
      <c r="SBD22" s="65"/>
      <c r="SBE22" s="65"/>
      <c r="SBF22" s="65"/>
      <c r="SBG22" s="65"/>
      <c r="SBH22" s="65"/>
      <c r="SBI22" s="65"/>
      <c r="SBJ22" s="65"/>
      <c r="SBK22" s="65"/>
      <c r="SBL22" s="65"/>
      <c r="SBM22" s="65"/>
      <c r="SBN22" s="65"/>
      <c r="SBO22" s="65"/>
      <c r="SBP22" s="65"/>
      <c r="SBQ22" s="65"/>
      <c r="SBR22" s="65"/>
      <c r="SBS22" s="65"/>
      <c r="SBT22" s="65"/>
      <c r="SBU22" s="65"/>
      <c r="SBV22" s="65"/>
      <c r="SBW22" s="65"/>
      <c r="SBX22" s="65"/>
      <c r="SBY22" s="65"/>
      <c r="SBZ22" s="65"/>
      <c r="SCA22" s="65"/>
      <c r="SCB22" s="65"/>
      <c r="SCC22" s="65"/>
      <c r="SCD22" s="65"/>
      <c r="SCE22" s="65"/>
      <c r="SCF22" s="65"/>
      <c r="SCG22" s="65"/>
      <c r="SCH22" s="65"/>
      <c r="SCI22" s="65"/>
      <c r="SCJ22" s="65"/>
      <c r="SCK22" s="65"/>
      <c r="SCL22" s="65"/>
      <c r="SCM22" s="65"/>
      <c r="SCN22" s="65"/>
      <c r="SCO22" s="65"/>
      <c r="SCP22" s="65"/>
      <c r="SCQ22" s="65"/>
      <c r="SCR22" s="65"/>
      <c r="SCS22" s="65"/>
      <c r="SCT22" s="65"/>
      <c r="SCU22" s="65"/>
      <c r="SCV22" s="65"/>
      <c r="SCW22" s="65"/>
      <c r="SCX22" s="65"/>
      <c r="SCY22" s="65"/>
      <c r="SCZ22" s="65"/>
      <c r="SDA22" s="65"/>
      <c r="SDB22" s="65"/>
      <c r="SDC22" s="65"/>
      <c r="SDD22" s="65"/>
      <c r="SDE22" s="65"/>
      <c r="SDF22" s="65"/>
      <c r="SDG22" s="65"/>
      <c r="SDH22" s="65"/>
      <c r="SDI22" s="65"/>
      <c r="SDJ22" s="65"/>
      <c r="SDK22" s="65"/>
      <c r="SDL22" s="65"/>
      <c r="SDM22" s="65"/>
      <c r="SDN22" s="65"/>
      <c r="SDO22" s="65"/>
      <c r="SDP22" s="65"/>
      <c r="SDQ22" s="65"/>
      <c r="SDR22" s="65"/>
      <c r="SDS22" s="65"/>
      <c r="SDT22" s="65"/>
      <c r="SDU22" s="65"/>
      <c r="SDV22" s="65"/>
      <c r="SDW22" s="65"/>
      <c r="SDX22" s="65"/>
      <c r="SDY22" s="65"/>
      <c r="SDZ22" s="65"/>
      <c r="SEA22" s="65"/>
      <c r="SEB22" s="65"/>
      <c r="SEC22" s="65"/>
      <c r="SED22" s="65"/>
      <c r="SEE22" s="65"/>
      <c r="SEF22" s="65"/>
      <c r="SEG22" s="65"/>
      <c r="SEH22" s="65"/>
      <c r="SEI22" s="65"/>
      <c r="SEJ22" s="65"/>
      <c r="SEK22" s="65"/>
      <c r="SEL22" s="65"/>
      <c r="SEM22" s="65"/>
      <c r="SEN22" s="65"/>
      <c r="SEO22" s="65"/>
      <c r="SEP22" s="65"/>
      <c r="SEQ22" s="65"/>
      <c r="SER22" s="65"/>
      <c r="SES22" s="65"/>
      <c r="SET22" s="65"/>
      <c r="SEU22" s="65"/>
      <c r="SEV22" s="65"/>
      <c r="SEW22" s="65"/>
      <c r="SEX22" s="65"/>
      <c r="SEY22" s="65"/>
      <c r="SEZ22" s="65"/>
      <c r="SFA22" s="65"/>
      <c r="SFB22" s="65"/>
      <c r="SFC22" s="65"/>
      <c r="SFD22" s="65"/>
      <c r="SFE22" s="65"/>
      <c r="SFF22" s="65"/>
      <c r="SFG22" s="65"/>
      <c r="SFH22" s="65"/>
      <c r="SFI22" s="65"/>
      <c r="SFJ22" s="65"/>
      <c r="SFK22" s="65"/>
      <c r="SFL22" s="65"/>
      <c r="SFM22" s="65"/>
      <c r="SFN22" s="65"/>
      <c r="SFO22" s="65"/>
      <c r="SFP22" s="65"/>
      <c r="SFQ22" s="65"/>
      <c r="SFR22" s="65"/>
      <c r="SFS22" s="65"/>
      <c r="SFT22" s="65"/>
      <c r="SFU22" s="65"/>
      <c r="SFV22" s="65"/>
      <c r="SFW22" s="65"/>
      <c r="SFX22" s="65"/>
      <c r="SFY22" s="65"/>
      <c r="SFZ22" s="65"/>
      <c r="SGA22" s="65"/>
      <c r="SGB22" s="65"/>
      <c r="SGC22" s="65"/>
      <c r="SGD22" s="65"/>
      <c r="SGE22" s="65"/>
      <c r="SGF22" s="65"/>
      <c r="SGG22" s="65"/>
      <c r="SGH22" s="65"/>
      <c r="SGI22" s="65"/>
      <c r="SGJ22" s="65"/>
      <c r="SGK22" s="65"/>
      <c r="SGL22" s="65"/>
      <c r="SGM22" s="65"/>
      <c r="SGN22" s="65"/>
      <c r="SGO22" s="65"/>
      <c r="SGP22" s="65"/>
      <c r="SGQ22" s="65"/>
      <c r="SGR22" s="65"/>
      <c r="SGS22" s="65"/>
      <c r="SGT22" s="65"/>
      <c r="SGU22" s="65"/>
      <c r="SGV22" s="65"/>
      <c r="SGW22" s="65"/>
      <c r="SGX22" s="65"/>
      <c r="SGY22" s="65"/>
      <c r="SGZ22" s="65"/>
      <c r="SHA22" s="65"/>
      <c r="SHB22" s="65"/>
      <c r="SHC22" s="65"/>
      <c r="SHD22" s="65"/>
      <c r="SHE22" s="65"/>
      <c r="SHF22" s="65"/>
      <c r="SHG22" s="65"/>
      <c r="SHH22" s="65"/>
      <c r="SHI22" s="65"/>
      <c r="SHJ22" s="65"/>
      <c r="SHK22" s="65"/>
      <c r="SHL22" s="65"/>
      <c r="SHM22" s="65"/>
      <c r="SHN22" s="65"/>
      <c r="SHO22" s="65"/>
      <c r="SHP22" s="65"/>
      <c r="SHQ22" s="65"/>
      <c r="SHR22" s="65"/>
      <c r="SHS22" s="65"/>
      <c r="SHT22" s="65"/>
      <c r="SHU22" s="65"/>
      <c r="SHV22" s="65"/>
      <c r="SHW22" s="65"/>
      <c r="SHX22" s="65"/>
      <c r="SHY22" s="65"/>
      <c r="SHZ22" s="65"/>
      <c r="SIA22" s="65"/>
      <c r="SIB22" s="65"/>
      <c r="SIC22" s="65"/>
      <c r="SID22" s="65"/>
      <c r="SIE22" s="65"/>
      <c r="SIF22" s="65"/>
      <c r="SIG22" s="65"/>
      <c r="SIH22" s="65"/>
      <c r="SII22" s="65"/>
      <c r="SIJ22" s="65"/>
      <c r="SIK22" s="65"/>
      <c r="SIL22" s="65"/>
      <c r="SIM22" s="65"/>
      <c r="SIN22" s="65"/>
      <c r="SIO22" s="65"/>
      <c r="SIP22" s="65"/>
      <c r="SIQ22" s="65"/>
      <c r="SIR22" s="65"/>
      <c r="SIS22" s="65"/>
      <c r="SIT22" s="65"/>
      <c r="SIU22" s="65"/>
      <c r="SIV22" s="65"/>
      <c r="SIW22" s="65"/>
      <c r="SIX22" s="65"/>
      <c r="SIY22" s="65"/>
      <c r="SIZ22" s="65"/>
      <c r="SJA22" s="65"/>
      <c r="SJB22" s="65"/>
      <c r="SJC22" s="65"/>
      <c r="SJD22" s="65"/>
      <c r="SJE22" s="65"/>
      <c r="SJF22" s="65"/>
      <c r="SJG22" s="65"/>
      <c r="SJH22" s="65"/>
      <c r="SJI22" s="65"/>
      <c r="SJJ22" s="65"/>
      <c r="SJK22" s="65"/>
      <c r="SJL22" s="65"/>
      <c r="SJM22" s="65"/>
      <c r="SJN22" s="65"/>
      <c r="SJO22" s="65"/>
      <c r="SJP22" s="65"/>
      <c r="SJQ22" s="65"/>
      <c r="SJR22" s="65"/>
      <c r="SJS22" s="65"/>
      <c r="SJT22" s="65"/>
      <c r="SJU22" s="65"/>
      <c r="SJV22" s="65"/>
      <c r="SJW22" s="65"/>
      <c r="SJX22" s="65"/>
      <c r="SJY22" s="65"/>
      <c r="SJZ22" s="65"/>
      <c r="SKA22" s="65"/>
      <c r="SKB22" s="65"/>
      <c r="SKC22" s="65"/>
      <c r="SKD22" s="65"/>
      <c r="SKE22" s="65"/>
      <c r="SKF22" s="65"/>
      <c r="SKG22" s="65"/>
      <c r="SKH22" s="65"/>
      <c r="SKI22" s="65"/>
      <c r="SKJ22" s="65"/>
      <c r="SKK22" s="65"/>
      <c r="SKL22" s="65"/>
      <c r="SKM22" s="65"/>
      <c r="SKN22" s="65"/>
      <c r="SKO22" s="65"/>
      <c r="SKP22" s="65"/>
      <c r="SKQ22" s="65"/>
      <c r="SKR22" s="65"/>
      <c r="SKS22" s="65"/>
      <c r="SKT22" s="65"/>
      <c r="SKU22" s="65"/>
      <c r="SKV22" s="65"/>
      <c r="SKW22" s="65"/>
      <c r="SKX22" s="65"/>
      <c r="SKY22" s="65"/>
      <c r="SKZ22" s="65"/>
      <c r="SLA22" s="65"/>
      <c r="SLB22" s="65"/>
      <c r="SLC22" s="65"/>
      <c r="SLD22" s="65"/>
      <c r="SLE22" s="65"/>
      <c r="SLF22" s="65"/>
      <c r="SLG22" s="65"/>
      <c r="SLH22" s="65"/>
      <c r="SLI22" s="65"/>
      <c r="SLJ22" s="65"/>
      <c r="SLK22" s="65"/>
      <c r="SLL22" s="65"/>
      <c r="SLM22" s="65"/>
      <c r="SLN22" s="65"/>
      <c r="SLO22" s="65"/>
      <c r="SLP22" s="65"/>
      <c r="SLQ22" s="65"/>
      <c r="SLR22" s="65"/>
      <c r="SLS22" s="65"/>
      <c r="SLT22" s="65"/>
      <c r="SLU22" s="65"/>
      <c r="SLV22" s="65"/>
      <c r="SLW22" s="65"/>
      <c r="SLX22" s="65"/>
      <c r="SLY22" s="65"/>
      <c r="SLZ22" s="65"/>
      <c r="SMA22" s="65"/>
      <c r="SMB22" s="65"/>
      <c r="SMC22" s="65"/>
      <c r="SMD22" s="65"/>
      <c r="SME22" s="65"/>
      <c r="SMF22" s="65"/>
      <c r="SMG22" s="65"/>
      <c r="SMH22" s="65"/>
      <c r="SMI22" s="65"/>
      <c r="SMJ22" s="65"/>
      <c r="SMK22" s="65"/>
      <c r="SML22" s="65"/>
      <c r="SMM22" s="65"/>
      <c r="SMN22" s="65"/>
      <c r="SMO22" s="65"/>
      <c r="SMP22" s="65"/>
      <c r="SMQ22" s="65"/>
      <c r="SMR22" s="65"/>
      <c r="SMS22" s="65"/>
      <c r="SMT22" s="65"/>
      <c r="SMU22" s="65"/>
      <c r="SMV22" s="65"/>
      <c r="SMW22" s="65"/>
      <c r="SMX22" s="65"/>
      <c r="SMY22" s="65"/>
      <c r="SMZ22" s="65"/>
      <c r="SNA22" s="65"/>
      <c r="SNB22" s="65"/>
      <c r="SNC22" s="65"/>
      <c r="SND22" s="65"/>
      <c r="SNE22" s="65"/>
      <c r="SNF22" s="65"/>
      <c r="SNG22" s="65"/>
      <c r="SNH22" s="65"/>
      <c r="SNI22" s="65"/>
      <c r="SNJ22" s="65"/>
      <c r="SNK22" s="65"/>
      <c r="SNL22" s="65"/>
      <c r="SNM22" s="65"/>
      <c r="SNN22" s="65"/>
      <c r="SNO22" s="65"/>
      <c r="SNP22" s="65"/>
      <c r="SNQ22" s="65"/>
      <c r="SNR22" s="65"/>
      <c r="SNS22" s="65"/>
      <c r="SNT22" s="65"/>
      <c r="SNU22" s="65"/>
      <c r="SNV22" s="65"/>
      <c r="SNW22" s="65"/>
      <c r="SNX22" s="65"/>
      <c r="SNY22" s="65"/>
      <c r="SNZ22" s="65"/>
      <c r="SOA22" s="65"/>
      <c r="SOB22" s="65"/>
      <c r="SOC22" s="65"/>
      <c r="SOD22" s="65"/>
      <c r="SOE22" s="65"/>
      <c r="SOF22" s="65"/>
      <c r="SOG22" s="65"/>
      <c r="SOH22" s="65"/>
      <c r="SOI22" s="65"/>
      <c r="SOJ22" s="65"/>
      <c r="SOK22" s="65"/>
      <c r="SOL22" s="65"/>
      <c r="SOM22" s="65"/>
      <c r="SON22" s="65"/>
      <c r="SOO22" s="65"/>
      <c r="SOP22" s="65"/>
      <c r="SOQ22" s="65"/>
      <c r="SOR22" s="65"/>
      <c r="SOS22" s="65"/>
      <c r="SOT22" s="65"/>
      <c r="SOU22" s="65"/>
      <c r="SOV22" s="65"/>
      <c r="SOW22" s="65"/>
      <c r="SOX22" s="65"/>
      <c r="SOY22" s="65"/>
      <c r="SOZ22" s="65"/>
      <c r="SPA22" s="65"/>
      <c r="SPB22" s="65"/>
      <c r="SPC22" s="65"/>
      <c r="SPD22" s="65"/>
      <c r="SPE22" s="65"/>
      <c r="SPF22" s="65"/>
      <c r="SPG22" s="65"/>
      <c r="SPH22" s="65"/>
      <c r="SPI22" s="65"/>
      <c r="SPJ22" s="65"/>
      <c r="SPK22" s="65"/>
      <c r="SPL22" s="65"/>
      <c r="SPM22" s="65"/>
      <c r="SPN22" s="65"/>
      <c r="SPO22" s="65"/>
      <c r="SPP22" s="65"/>
      <c r="SPQ22" s="65"/>
      <c r="SPR22" s="65"/>
      <c r="SPS22" s="65"/>
      <c r="SPT22" s="65"/>
      <c r="SPU22" s="65"/>
      <c r="SPV22" s="65"/>
      <c r="SPW22" s="65"/>
      <c r="SPX22" s="65"/>
      <c r="SPY22" s="65"/>
      <c r="SPZ22" s="65"/>
      <c r="SQA22" s="65"/>
      <c r="SQB22" s="65"/>
      <c r="SQC22" s="65"/>
      <c r="SQD22" s="65"/>
      <c r="SQE22" s="65"/>
      <c r="SQF22" s="65"/>
      <c r="SQG22" s="65"/>
      <c r="SQH22" s="65"/>
      <c r="SQI22" s="65"/>
      <c r="SQJ22" s="65"/>
      <c r="SQK22" s="65"/>
      <c r="SQL22" s="65"/>
      <c r="SQM22" s="65"/>
      <c r="SQN22" s="65"/>
      <c r="SQO22" s="65"/>
      <c r="SQP22" s="65"/>
      <c r="SQQ22" s="65"/>
      <c r="SQR22" s="65"/>
      <c r="SQS22" s="65"/>
      <c r="SQT22" s="65"/>
      <c r="SQU22" s="65"/>
      <c r="SQV22" s="65"/>
      <c r="SQW22" s="65"/>
      <c r="SQX22" s="65"/>
      <c r="SQY22" s="65"/>
      <c r="SQZ22" s="65"/>
      <c r="SRA22" s="65"/>
      <c r="SRB22" s="65"/>
      <c r="SRC22" s="65"/>
      <c r="SRD22" s="65"/>
      <c r="SRE22" s="65"/>
      <c r="SRF22" s="65"/>
      <c r="SRG22" s="65"/>
      <c r="SRH22" s="65"/>
      <c r="SRI22" s="65"/>
      <c r="SRJ22" s="65"/>
      <c r="SRK22" s="65"/>
      <c r="SRL22" s="65"/>
      <c r="SRM22" s="65"/>
      <c r="SRN22" s="65"/>
      <c r="SRO22" s="65"/>
      <c r="SRP22" s="65"/>
      <c r="SRQ22" s="65"/>
      <c r="SRR22" s="65"/>
      <c r="SRS22" s="65"/>
      <c r="SRT22" s="65"/>
      <c r="SRU22" s="65"/>
      <c r="SRV22" s="65"/>
      <c r="SRW22" s="65"/>
      <c r="SRX22" s="65"/>
      <c r="SRY22" s="65"/>
      <c r="SRZ22" s="65"/>
      <c r="SSA22" s="65"/>
      <c r="SSB22" s="65"/>
      <c r="SSC22" s="65"/>
      <c r="SSD22" s="65"/>
      <c r="SSE22" s="65"/>
      <c r="SSF22" s="65"/>
      <c r="SSG22" s="65"/>
      <c r="SSH22" s="65"/>
      <c r="SSI22" s="65"/>
      <c r="SSJ22" s="65"/>
      <c r="SSK22" s="65"/>
      <c r="SSL22" s="65"/>
      <c r="SSM22" s="65"/>
      <c r="SSN22" s="65"/>
      <c r="SSO22" s="65"/>
      <c r="SSP22" s="65"/>
      <c r="SSQ22" s="65"/>
      <c r="SSR22" s="65"/>
      <c r="SSS22" s="65"/>
      <c r="SST22" s="65"/>
      <c r="SSU22" s="65"/>
      <c r="SSV22" s="65"/>
      <c r="SSW22" s="65"/>
      <c r="SSX22" s="65"/>
      <c r="SSY22" s="65"/>
      <c r="SSZ22" s="65"/>
      <c r="STA22" s="65"/>
      <c r="STB22" s="65"/>
      <c r="STC22" s="65"/>
      <c r="STD22" s="65"/>
      <c r="STE22" s="65"/>
      <c r="STF22" s="65"/>
      <c r="STG22" s="65"/>
      <c r="STH22" s="65"/>
      <c r="STI22" s="65"/>
      <c r="STJ22" s="65"/>
      <c r="STK22" s="65"/>
      <c r="STL22" s="65"/>
      <c r="STM22" s="65"/>
      <c r="STN22" s="65"/>
      <c r="STO22" s="65"/>
      <c r="STP22" s="65"/>
      <c r="STQ22" s="65"/>
      <c r="STR22" s="65"/>
      <c r="STS22" s="65"/>
      <c r="STT22" s="65"/>
      <c r="STU22" s="65"/>
      <c r="STV22" s="65"/>
      <c r="STW22" s="65"/>
      <c r="STX22" s="65"/>
      <c r="STY22" s="65"/>
      <c r="STZ22" s="65"/>
      <c r="SUA22" s="65"/>
      <c r="SUB22" s="65"/>
      <c r="SUC22" s="65"/>
      <c r="SUD22" s="65"/>
      <c r="SUE22" s="65"/>
      <c r="SUF22" s="65"/>
      <c r="SUG22" s="65"/>
      <c r="SUH22" s="65"/>
      <c r="SUI22" s="65"/>
      <c r="SUJ22" s="65"/>
      <c r="SUK22" s="65"/>
      <c r="SUL22" s="65"/>
      <c r="SUM22" s="65"/>
      <c r="SUN22" s="65"/>
      <c r="SUO22" s="65"/>
      <c r="SUP22" s="65"/>
      <c r="SUQ22" s="65"/>
      <c r="SUR22" s="65"/>
      <c r="SUS22" s="65"/>
      <c r="SUT22" s="65"/>
      <c r="SUU22" s="65"/>
      <c r="SUV22" s="65"/>
      <c r="SUW22" s="65"/>
      <c r="SUX22" s="65"/>
      <c r="SUY22" s="65"/>
      <c r="SUZ22" s="65"/>
      <c r="SVA22" s="65"/>
      <c r="SVB22" s="65"/>
      <c r="SVC22" s="65"/>
      <c r="SVD22" s="65"/>
      <c r="SVE22" s="65"/>
      <c r="SVF22" s="65"/>
      <c r="SVG22" s="65"/>
      <c r="SVH22" s="65"/>
      <c r="SVI22" s="65"/>
      <c r="SVJ22" s="65"/>
      <c r="SVK22" s="65"/>
      <c r="SVL22" s="65"/>
      <c r="SVM22" s="65"/>
      <c r="SVN22" s="65"/>
      <c r="SVO22" s="65"/>
      <c r="SVP22" s="65"/>
      <c r="SVQ22" s="65"/>
      <c r="SVR22" s="65"/>
      <c r="SVS22" s="65"/>
      <c r="SVT22" s="65"/>
      <c r="SVU22" s="65"/>
      <c r="SVV22" s="65"/>
      <c r="SVW22" s="65"/>
      <c r="SVX22" s="65"/>
      <c r="SVY22" s="65"/>
      <c r="SVZ22" s="65"/>
      <c r="SWA22" s="65"/>
      <c r="SWB22" s="65"/>
      <c r="SWC22" s="65"/>
      <c r="SWD22" s="65"/>
      <c r="SWE22" s="65"/>
      <c r="SWF22" s="65"/>
      <c r="SWG22" s="65"/>
      <c r="SWH22" s="65"/>
      <c r="SWI22" s="65"/>
      <c r="SWJ22" s="65"/>
      <c r="SWK22" s="65"/>
      <c r="SWL22" s="65"/>
      <c r="SWM22" s="65"/>
      <c r="SWN22" s="65"/>
      <c r="SWO22" s="65"/>
      <c r="SWP22" s="65"/>
      <c r="SWQ22" s="65"/>
      <c r="SWR22" s="65"/>
      <c r="SWS22" s="65"/>
      <c r="SWT22" s="65"/>
      <c r="SWU22" s="65"/>
      <c r="SWV22" s="65"/>
      <c r="SWW22" s="65"/>
      <c r="SWX22" s="65"/>
      <c r="SWY22" s="65"/>
      <c r="SWZ22" s="65"/>
      <c r="SXA22" s="65"/>
      <c r="SXB22" s="65"/>
      <c r="SXC22" s="65"/>
      <c r="SXD22" s="65"/>
      <c r="SXE22" s="65"/>
      <c r="SXF22" s="65"/>
      <c r="SXG22" s="65"/>
      <c r="SXH22" s="65"/>
      <c r="SXI22" s="65"/>
      <c r="SXJ22" s="65"/>
      <c r="SXK22" s="65"/>
      <c r="SXL22" s="65"/>
      <c r="SXM22" s="65"/>
      <c r="SXN22" s="65"/>
      <c r="SXO22" s="65"/>
      <c r="SXP22" s="65"/>
      <c r="SXQ22" s="65"/>
      <c r="SXR22" s="65"/>
      <c r="SXS22" s="65"/>
      <c r="SXT22" s="65"/>
      <c r="SXU22" s="65"/>
      <c r="SXV22" s="65"/>
      <c r="SXW22" s="65"/>
      <c r="SXX22" s="65"/>
      <c r="SXY22" s="65"/>
      <c r="SXZ22" s="65"/>
      <c r="SYA22" s="65"/>
      <c r="SYB22" s="65"/>
      <c r="SYC22" s="65"/>
      <c r="SYD22" s="65"/>
      <c r="SYE22" s="65"/>
      <c r="SYF22" s="65"/>
      <c r="SYG22" s="65"/>
      <c r="SYH22" s="65"/>
      <c r="SYI22" s="65"/>
      <c r="SYJ22" s="65"/>
      <c r="SYK22" s="65"/>
      <c r="SYL22" s="65"/>
      <c r="SYM22" s="65"/>
      <c r="SYN22" s="65"/>
      <c r="SYO22" s="65"/>
      <c r="SYP22" s="65"/>
      <c r="SYQ22" s="65"/>
      <c r="SYR22" s="65"/>
      <c r="SYS22" s="65"/>
      <c r="SYT22" s="65"/>
      <c r="SYU22" s="65"/>
      <c r="SYV22" s="65"/>
      <c r="SYW22" s="65"/>
      <c r="SYX22" s="65"/>
      <c r="SYY22" s="65"/>
      <c r="SYZ22" s="65"/>
      <c r="SZA22" s="65"/>
      <c r="SZB22" s="65"/>
      <c r="SZC22" s="65"/>
      <c r="SZD22" s="65"/>
      <c r="SZE22" s="65"/>
      <c r="SZF22" s="65"/>
      <c r="SZG22" s="65"/>
      <c r="SZH22" s="65"/>
      <c r="SZI22" s="65"/>
      <c r="SZJ22" s="65"/>
      <c r="SZK22" s="65"/>
      <c r="SZL22" s="65"/>
      <c r="SZM22" s="65"/>
      <c r="SZN22" s="65"/>
      <c r="SZO22" s="65"/>
      <c r="SZP22" s="65"/>
      <c r="SZQ22" s="65"/>
      <c r="SZR22" s="65"/>
      <c r="SZS22" s="65"/>
      <c r="SZT22" s="65"/>
      <c r="SZU22" s="65"/>
      <c r="SZV22" s="65"/>
      <c r="SZW22" s="65"/>
      <c r="SZX22" s="65"/>
      <c r="SZY22" s="65"/>
      <c r="SZZ22" s="65"/>
      <c r="TAA22" s="65"/>
      <c r="TAB22" s="65"/>
      <c r="TAC22" s="65"/>
      <c r="TAD22" s="65"/>
      <c r="TAE22" s="65"/>
      <c r="TAF22" s="65"/>
      <c r="TAG22" s="65"/>
      <c r="TAH22" s="65"/>
      <c r="TAI22" s="65"/>
      <c r="TAJ22" s="65"/>
      <c r="TAK22" s="65"/>
      <c r="TAL22" s="65"/>
      <c r="TAM22" s="65"/>
      <c r="TAN22" s="65"/>
      <c r="TAO22" s="65"/>
      <c r="TAP22" s="65"/>
      <c r="TAQ22" s="65"/>
      <c r="TAR22" s="65"/>
      <c r="TAS22" s="65"/>
      <c r="TAT22" s="65"/>
      <c r="TAU22" s="65"/>
      <c r="TAV22" s="65"/>
      <c r="TAW22" s="65"/>
      <c r="TAX22" s="65"/>
      <c r="TAY22" s="65"/>
      <c r="TAZ22" s="65"/>
      <c r="TBA22" s="65"/>
      <c r="TBB22" s="65"/>
      <c r="TBC22" s="65"/>
      <c r="TBD22" s="65"/>
      <c r="TBE22" s="65"/>
      <c r="TBF22" s="65"/>
      <c r="TBG22" s="65"/>
      <c r="TBH22" s="65"/>
      <c r="TBI22" s="65"/>
      <c r="TBJ22" s="65"/>
      <c r="TBK22" s="65"/>
      <c r="TBL22" s="65"/>
      <c r="TBM22" s="65"/>
      <c r="TBN22" s="65"/>
      <c r="TBO22" s="65"/>
      <c r="TBP22" s="65"/>
      <c r="TBQ22" s="65"/>
      <c r="TBR22" s="65"/>
      <c r="TBS22" s="65"/>
      <c r="TBT22" s="65"/>
      <c r="TBU22" s="65"/>
      <c r="TBV22" s="65"/>
      <c r="TBW22" s="65"/>
      <c r="TBX22" s="65"/>
      <c r="TBY22" s="65"/>
      <c r="TBZ22" s="65"/>
      <c r="TCA22" s="65"/>
      <c r="TCB22" s="65"/>
      <c r="TCC22" s="65"/>
      <c r="TCD22" s="65"/>
      <c r="TCE22" s="65"/>
      <c r="TCF22" s="65"/>
      <c r="TCG22" s="65"/>
      <c r="TCH22" s="65"/>
      <c r="TCI22" s="65"/>
      <c r="TCJ22" s="65"/>
      <c r="TCK22" s="65"/>
      <c r="TCL22" s="65"/>
      <c r="TCM22" s="65"/>
      <c r="TCN22" s="65"/>
      <c r="TCO22" s="65"/>
      <c r="TCP22" s="65"/>
      <c r="TCQ22" s="65"/>
      <c r="TCR22" s="65"/>
      <c r="TCS22" s="65"/>
      <c r="TCT22" s="65"/>
      <c r="TCU22" s="65"/>
      <c r="TCV22" s="65"/>
      <c r="TCW22" s="65"/>
      <c r="TCX22" s="65"/>
      <c r="TCY22" s="65"/>
      <c r="TCZ22" s="65"/>
      <c r="TDA22" s="65"/>
      <c r="TDB22" s="65"/>
      <c r="TDC22" s="65"/>
      <c r="TDD22" s="65"/>
      <c r="TDE22" s="65"/>
      <c r="TDF22" s="65"/>
      <c r="TDG22" s="65"/>
      <c r="TDH22" s="65"/>
      <c r="TDI22" s="65"/>
      <c r="TDJ22" s="65"/>
      <c r="TDK22" s="65"/>
      <c r="TDL22" s="65"/>
      <c r="TDM22" s="65"/>
      <c r="TDN22" s="65"/>
      <c r="TDO22" s="65"/>
      <c r="TDP22" s="65"/>
      <c r="TDQ22" s="65"/>
      <c r="TDR22" s="65"/>
      <c r="TDS22" s="65"/>
      <c r="TDT22" s="65"/>
      <c r="TDU22" s="65"/>
      <c r="TDV22" s="65"/>
      <c r="TDW22" s="65"/>
      <c r="TDX22" s="65"/>
      <c r="TDY22" s="65"/>
      <c r="TDZ22" s="65"/>
      <c r="TEA22" s="65"/>
      <c r="TEB22" s="65"/>
      <c r="TEC22" s="65"/>
      <c r="TED22" s="65"/>
      <c r="TEE22" s="65"/>
      <c r="TEF22" s="65"/>
      <c r="TEG22" s="65"/>
      <c r="TEH22" s="65"/>
      <c r="TEI22" s="65"/>
      <c r="TEJ22" s="65"/>
      <c r="TEK22" s="65"/>
      <c r="TEL22" s="65"/>
      <c r="TEM22" s="65"/>
      <c r="TEN22" s="65"/>
      <c r="TEO22" s="65"/>
      <c r="TEP22" s="65"/>
      <c r="TEQ22" s="65"/>
      <c r="TER22" s="65"/>
      <c r="TES22" s="65"/>
      <c r="TET22" s="65"/>
      <c r="TEU22" s="65"/>
      <c r="TEV22" s="65"/>
      <c r="TEW22" s="65"/>
      <c r="TEX22" s="65"/>
      <c r="TEY22" s="65"/>
      <c r="TEZ22" s="65"/>
      <c r="TFA22" s="65"/>
      <c r="TFB22" s="65"/>
      <c r="TFC22" s="65"/>
      <c r="TFD22" s="65"/>
      <c r="TFE22" s="65"/>
      <c r="TFF22" s="65"/>
      <c r="TFG22" s="65"/>
      <c r="TFH22" s="65"/>
      <c r="TFI22" s="65"/>
      <c r="TFJ22" s="65"/>
      <c r="TFK22" s="65"/>
      <c r="TFL22" s="65"/>
      <c r="TFM22" s="65"/>
      <c r="TFN22" s="65"/>
      <c r="TFO22" s="65"/>
      <c r="TFP22" s="65"/>
      <c r="TFQ22" s="65"/>
      <c r="TFR22" s="65"/>
      <c r="TFS22" s="65"/>
      <c r="TFT22" s="65"/>
      <c r="TFU22" s="65"/>
      <c r="TFV22" s="65"/>
      <c r="TFW22" s="65"/>
      <c r="TFX22" s="65"/>
      <c r="TFY22" s="65"/>
      <c r="TFZ22" s="65"/>
      <c r="TGA22" s="65"/>
      <c r="TGB22" s="65"/>
      <c r="TGC22" s="65"/>
      <c r="TGD22" s="65"/>
      <c r="TGE22" s="65"/>
      <c r="TGF22" s="65"/>
      <c r="TGG22" s="65"/>
      <c r="TGH22" s="65"/>
      <c r="TGI22" s="65"/>
      <c r="TGJ22" s="65"/>
      <c r="TGK22" s="65"/>
      <c r="TGL22" s="65"/>
      <c r="TGM22" s="65"/>
      <c r="TGN22" s="65"/>
      <c r="TGO22" s="65"/>
      <c r="TGP22" s="65"/>
      <c r="TGQ22" s="65"/>
      <c r="TGR22" s="65"/>
      <c r="TGS22" s="65"/>
      <c r="TGT22" s="65"/>
      <c r="TGU22" s="65"/>
      <c r="TGV22" s="65"/>
      <c r="TGW22" s="65"/>
      <c r="TGX22" s="65"/>
      <c r="TGY22" s="65"/>
      <c r="TGZ22" s="65"/>
      <c r="THA22" s="65"/>
      <c r="THB22" s="65"/>
      <c r="THC22" s="65"/>
      <c r="THD22" s="65"/>
      <c r="THE22" s="65"/>
      <c r="THF22" s="65"/>
      <c r="THG22" s="65"/>
      <c r="THH22" s="65"/>
      <c r="THI22" s="65"/>
      <c r="THJ22" s="65"/>
      <c r="THK22" s="65"/>
      <c r="THL22" s="65"/>
      <c r="THM22" s="65"/>
      <c r="THN22" s="65"/>
      <c r="THO22" s="65"/>
      <c r="THP22" s="65"/>
      <c r="THQ22" s="65"/>
      <c r="THR22" s="65"/>
      <c r="THS22" s="65"/>
      <c r="THT22" s="65"/>
      <c r="THU22" s="65"/>
      <c r="THV22" s="65"/>
      <c r="THW22" s="65"/>
      <c r="THX22" s="65"/>
      <c r="THY22" s="65"/>
      <c r="THZ22" s="65"/>
      <c r="TIA22" s="65"/>
      <c r="TIB22" s="65"/>
      <c r="TIC22" s="65"/>
      <c r="TID22" s="65"/>
      <c r="TIE22" s="65"/>
      <c r="TIF22" s="65"/>
      <c r="TIG22" s="65"/>
      <c r="TIH22" s="65"/>
      <c r="TII22" s="65"/>
      <c r="TIJ22" s="65"/>
      <c r="TIK22" s="65"/>
      <c r="TIL22" s="65"/>
      <c r="TIM22" s="65"/>
      <c r="TIN22" s="65"/>
      <c r="TIO22" s="65"/>
      <c r="TIP22" s="65"/>
      <c r="TIQ22" s="65"/>
      <c r="TIR22" s="65"/>
      <c r="TIS22" s="65"/>
      <c r="TIT22" s="65"/>
      <c r="TIU22" s="65"/>
      <c r="TIV22" s="65"/>
      <c r="TIW22" s="65"/>
      <c r="TIX22" s="65"/>
      <c r="TIY22" s="65"/>
      <c r="TIZ22" s="65"/>
      <c r="TJA22" s="65"/>
      <c r="TJB22" s="65"/>
      <c r="TJC22" s="65"/>
      <c r="TJD22" s="65"/>
      <c r="TJE22" s="65"/>
      <c r="TJF22" s="65"/>
      <c r="TJG22" s="65"/>
      <c r="TJH22" s="65"/>
      <c r="TJI22" s="65"/>
      <c r="TJJ22" s="65"/>
      <c r="TJK22" s="65"/>
      <c r="TJL22" s="65"/>
      <c r="TJM22" s="65"/>
      <c r="TJN22" s="65"/>
      <c r="TJO22" s="65"/>
      <c r="TJP22" s="65"/>
      <c r="TJQ22" s="65"/>
      <c r="TJR22" s="65"/>
      <c r="TJS22" s="65"/>
      <c r="TJT22" s="65"/>
      <c r="TJU22" s="65"/>
      <c r="TJV22" s="65"/>
      <c r="TJW22" s="65"/>
      <c r="TJX22" s="65"/>
      <c r="TJY22" s="65"/>
      <c r="TJZ22" s="65"/>
      <c r="TKA22" s="65"/>
      <c r="TKB22" s="65"/>
      <c r="TKC22" s="65"/>
      <c r="TKD22" s="65"/>
      <c r="TKE22" s="65"/>
      <c r="TKF22" s="65"/>
      <c r="TKG22" s="65"/>
      <c r="TKH22" s="65"/>
      <c r="TKI22" s="65"/>
      <c r="TKJ22" s="65"/>
      <c r="TKK22" s="65"/>
      <c r="TKL22" s="65"/>
      <c r="TKM22" s="65"/>
      <c r="TKN22" s="65"/>
      <c r="TKO22" s="65"/>
      <c r="TKP22" s="65"/>
      <c r="TKQ22" s="65"/>
      <c r="TKR22" s="65"/>
      <c r="TKS22" s="65"/>
      <c r="TKT22" s="65"/>
      <c r="TKU22" s="65"/>
      <c r="TKV22" s="65"/>
      <c r="TKW22" s="65"/>
      <c r="TKX22" s="65"/>
      <c r="TKY22" s="65"/>
      <c r="TKZ22" s="65"/>
      <c r="TLA22" s="65"/>
      <c r="TLB22" s="65"/>
      <c r="TLC22" s="65"/>
      <c r="TLD22" s="65"/>
      <c r="TLE22" s="65"/>
      <c r="TLF22" s="65"/>
      <c r="TLG22" s="65"/>
      <c r="TLH22" s="65"/>
      <c r="TLI22" s="65"/>
      <c r="TLJ22" s="65"/>
      <c r="TLK22" s="65"/>
      <c r="TLL22" s="65"/>
      <c r="TLM22" s="65"/>
      <c r="TLN22" s="65"/>
      <c r="TLO22" s="65"/>
      <c r="TLP22" s="65"/>
      <c r="TLQ22" s="65"/>
      <c r="TLR22" s="65"/>
      <c r="TLS22" s="65"/>
      <c r="TLT22" s="65"/>
      <c r="TLU22" s="65"/>
      <c r="TLV22" s="65"/>
      <c r="TLW22" s="65"/>
      <c r="TLX22" s="65"/>
      <c r="TLY22" s="65"/>
      <c r="TLZ22" s="65"/>
      <c r="TMA22" s="65"/>
      <c r="TMB22" s="65"/>
      <c r="TMC22" s="65"/>
      <c r="TMD22" s="65"/>
      <c r="TME22" s="65"/>
      <c r="TMF22" s="65"/>
      <c r="TMG22" s="65"/>
      <c r="TMH22" s="65"/>
      <c r="TMI22" s="65"/>
      <c r="TMJ22" s="65"/>
      <c r="TMK22" s="65"/>
      <c r="TML22" s="65"/>
      <c r="TMM22" s="65"/>
      <c r="TMN22" s="65"/>
      <c r="TMO22" s="65"/>
      <c r="TMP22" s="65"/>
      <c r="TMQ22" s="65"/>
      <c r="TMR22" s="65"/>
      <c r="TMS22" s="65"/>
      <c r="TMT22" s="65"/>
      <c r="TMU22" s="65"/>
      <c r="TMV22" s="65"/>
      <c r="TMW22" s="65"/>
      <c r="TMX22" s="65"/>
      <c r="TMY22" s="65"/>
      <c r="TMZ22" s="65"/>
      <c r="TNA22" s="65"/>
      <c r="TNB22" s="65"/>
      <c r="TNC22" s="65"/>
      <c r="TND22" s="65"/>
      <c r="TNE22" s="65"/>
      <c r="TNF22" s="65"/>
      <c r="TNG22" s="65"/>
      <c r="TNH22" s="65"/>
      <c r="TNI22" s="65"/>
      <c r="TNJ22" s="65"/>
      <c r="TNK22" s="65"/>
      <c r="TNL22" s="65"/>
      <c r="TNM22" s="65"/>
      <c r="TNN22" s="65"/>
      <c r="TNO22" s="65"/>
      <c r="TNP22" s="65"/>
      <c r="TNQ22" s="65"/>
      <c r="TNR22" s="65"/>
      <c r="TNS22" s="65"/>
      <c r="TNT22" s="65"/>
      <c r="TNU22" s="65"/>
      <c r="TNV22" s="65"/>
      <c r="TNW22" s="65"/>
      <c r="TNX22" s="65"/>
      <c r="TNY22" s="65"/>
      <c r="TNZ22" s="65"/>
      <c r="TOA22" s="65"/>
      <c r="TOB22" s="65"/>
      <c r="TOC22" s="65"/>
      <c r="TOD22" s="65"/>
      <c r="TOE22" s="65"/>
      <c r="TOF22" s="65"/>
      <c r="TOG22" s="65"/>
      <c r="TOH22" s="65"/>
      <c r="TOI22" s="65"/>
      <c r="TOJ22" s="65"/>
      <c r="TOK22" s="65"/>
      <c r="TOL22" s="65"/>
      <c r="TOM22" s="65"/>
      <c r="TON22" s="65"/>
      <c r="TOO22" s="65"/>
      <c r="TOP22" s="65"/>
      <c r="TOQ22" s="65"/>
      <c r="TOR22" s="65"/>
      <c r="TOS22" s="65"/>
      <c r="TOT22" s="65"/>
      <c r="TOU22" s="65"/>
      <c r="TOV22" s="65"/>
      <c r="TOW22" s="65"/>
      <c r="TOX22" s="65"/>
      <c r="TOY22" s="65"/>
      <c r="TOZ22" s="65"/>
      <c r="TPA22" s="65"/>
      <c r="TPB22" s="65"/>
      <c r="TPC22" s="65"/>
      <c r="TPD22" s="65"/>
      <c r="TPE22" s="65"/>
      <c r="TPF22" s="65"/>
      <c r="TPG22" s="65"/>
      <c r="TPH22" s="65"/>
      <c r="TPI22" s="65"/>
      <c r="TPJ22" s="65"/>
      <c r="TPK22" s="65"/>
      <c r="TPL22" s="65"/>
      <c r="TPM22" s="65"/>
      <c r="TPN22" s="65"/>
      <c r="TPO22" s="65"/>
      <c r="TPP22" s="65"/>
      <c r="TPQ22" s="65"/>
      <c r="TPR22" s="65"/>
      <c r="TPS22" s="65"/>
      <c r="TPT22" s="65"/>
      <c r="TPU22" s="65"/>
      <c r="TPV22" s="65"/>
      <c r="TPW22" s="65"/>
      <c r="TPX22" s="65"/>
      <c r="TPY22" s="65"/>
      <c r="TPZ22" s="65"/>
      <c r="TQA22" s="65"/>
      <c r="TQB22" s="65"/>
      <c r="TQC22" s="65"/>
      <c r="TQD22" s="65"/>
      <c r="TQE22" s="65"/>
      <c r="TQF22" s="65"/>
      <c r="TQG22" s="65"/>
      <c r="TQH22" s="65"/>
      <c r="TQI22" s="65"/>
      <c r="TQJ22" s="65"/>
      <c r="TQK22" s="65"/>
      <c r="TQL22" s="65"/>
      <c r="TQM22" s="65"/>
      <c r="TQN22" s="65"/>
      <c r="TQO22" s="65"/>
      <c r="TQP22" s="65"/>
      <c r="TQQ22" s="65"/>
      <c r="TQR22" s="65"/>
      <c r="TQS22" s="65"/>
      <c r="TQT22" s="65"/>
      <c r="TQU22" s="65"/>
      <c r="TQV22" s="65"/>
      <c r="TQW22" s="65"/>
      <c r="TQX22" s="65"/>
      <c r="TQY22" s="65"/>
      <c r="TQZ22" s="65"/>
      <c r="TRA22" s="65"/>
      <c r="TRB22" s="65"/>
      <c r="TRC22" s="65"/>
      <c r="TRD22" s="65"/>
      <c r="TRE22" s="65"/>
      <c r="TRF22" s="65"/>
      <c r="TRG22" s="65"/>
      <c r="TRH22" s="65"/>
      <c r="TRI22" s="65"/>
      <c r="TRJ22" s="65"/>
      <c r="TRK22" s="65"/>
      <c r="TRL22" s="65"/>
      <c r="TRM22" s="65"/>
      <c r="TRN22" s="65"/>
      <c r="TRO22" s="65"/>
      <c r="TRP22" s="65"/>
      <c r="TRQ22" s="65"/>
      <c r="TRR22" s="65"/>
      <c r="TRS22" s="65"/>
      <c r="TRT22" s="65"/>
      <c r="TRU22" s="65"/>
      <c r="TRV22" s="65"/>
      <c r="TRW22" s="65"/>
      <c r="TRX22" s="65"/>
      <c r="TRY22" s="65"/>
      <c r="TRZ22" s="65"/>
      <c r="TSA22" s="65"/>
      <c r="TSB22" s="65"/>
      <c r="TSC22" s="65"/>
      <c r="TSD22" s="65"/>
      <c r="TSE22" s="65"/>
      <c r="TSF22" s="65"/>
      <c r="TSG22" s="65"/>
      <c r="TSH22" s="65"/>
      <c r="TSI22" s="65"/>
      <c r="TSJ22" s="65"/>
      <c r="TSK22" s="65"/>
      <c r="TSL22" s="65"/>
      <c r="TSM22" s="65"/>
      <c r="TSN22" s="65"/>
      <c r="TSO22" s="65"/>
      <c r="TSP22" s="65"/>
      <c r="TSQ22" s="65"/>
      <c r="TSR22" s="65"/>
      <c r="TSS22" s="65"/>
      <c r="TST22" s="65"/>
      <c r="TSU22" s="65"/>
      <c r="TSV22" s="65"/>
      <c r="TSW22" s="65"/>
      <c r="TSX22" s="65"/>
      <c r="TSY22" s="65"/>
      <c r="TSZ22" s="65"/>
      <c r="TTA22" s="65"/>
      <c r="TTB22" s="65"/>
      <c r="TTC22" s="65"/>
      <c r="TTD22" s="65"/>
      <c r="TTE22" s="65"/>
      <c r="TTF22" s="65"/>
      <c r="TTG22" s="65"/>
      <c r="TTH22" s="65"/>
      <c r="TTI22" s="65"/>
      <c r="TTJ22" s="65"/>
      <c r="TTK22" s="65"/>
      <c r="TTL22" s="65"/>
      <c r="TTM22" s="65"/>
      <c r="TTN22" s="65"/>
      <c r="TTO22" s="65"/>
      <c r="TTP22" s="65"/>
      <c r="TTQ22" s="65"/>
      <c r="TTR22" s="65"/>
      <c r="TTS22" s="65"/>
      <c r="TTT22" s="65"/>
      <c r="TTU22" s="65"/>
      <c r="TTV22" s="65"/>
      <c r="TTW22" s="65"/>
      <c r="TTX22" s="65"/>
      <c r="TTY22" s="65"/>
      <c r="TTZ22" s="65"/>
      <c r="TUA22" s="65"/>
      <c r="TUB22" s="65"/>
      <c r="TUC22" s="65"/>
      <c r="TUD22" s="65"/>
      <c r="TUE22" s="65"/>
      <c r="TUF22" s="65"/>
      <c r="TUG22" s="65"/>
      <c r="TUH22" s="65"/>
      <c r="TUI22" s="65"/>
      <c r="TUJ22" s="65"/>
      <c r="TUK22" s="65"/>
      <c r="TUL22" s="65"/>
      <c r="TUM22" s="65"/>
      <c r="TUN22" s="65"/>
      <c r="TUO22" s="65"/>
      <c r="TUP22" s="65"/>
      <c r="TUQ22" s="65"/>
      <c r="TUR22" s="65"/>
      <c r="TUS22" s="65"/>
      <c r="TUT22" s="65"/>
      <c r="TUU22" s="65"/>
      <c r="TUV22" s="65"/>
      <c r="TUW22" s="65"/>
      <c r="TUX22" s="65"/>
      <c r="TUY22" s="65"/>
      <c r="TUZ22" s="65"/>
      <c r="TVA22" s="65"/>
      <c r="TVB22" s="65"/>
      <c r="TVC22" s="65"/>
      <c r="TVD22" s="65"/>
      <c r="TVE22" s="65"/>
      <c r="TVF22" s="65"/>
      <c r="TVG22" s="65"/>
      <c r="TVH22" s="65"/>
      <c r="TVI22" s="65"/>
      <c r="TVJ22" s="65"/>
      <c r="TVK22" s="65"/>
      <c r="TVL22" s="65"/>
      <c r="TVM22" s="65"/>
      <c r="TVN22" s="65"/>
      <c r="TVO22" s="65"/>
      <c r="TVP22" s="65"/>
      <c r="TVQ22" s="65"/>
      <c r="TVR22" s="65"/>
      <c r="TVS22" s="65"/>
      <c r="TVT22" s="65"/>
      <c r="TVU22" s="65"/>
      <c r="TVV22" s="65"/>
      <c r="TVW22" s="65"/>
      <c r="TVX22" s="65"/>
      <c r="TVY22" s="65"/>
      <c r="TVZ22" s="65"/>
      <c r="TWA22" s="65"/>
      <c r="TWB22" s="65"/>
      <c r="TWC22" s="65"/>
      <c r="TWD22" s="65"/>
      <c r="TWE22" s="65"/>
      <c r="TWF22" s="65"/>
      <c r="TWG22" s="65"/>
      <c r="TWH22" s="65"/>
      <c r="TWI22" s="65"/>
      <c r="TWJ22" s="65"/>
      <c r="TWK22" s="65"/>
      <c r="TWL22" s="65"/>
      <c r="TWM22" s="65"/>
      <c r="TWN22" s="65"/>
      <c r="TWO22" s="65"/>
      <c r="TWP22" s="65"/>
      <c r="TWQ22" s="65"/>
      <c r="TWR22" s="65"/>
      <c r="TWS22" s="65"/>
      <c r="TWT22" s="65"/>
      <c r="TWU22" s="65"/>
      <c r="TWV22" s="65"/>
      <c r="TWW22" s="65"/>
      <c r="TWX22" s="65"/>
      <c r="TWY22" s="65"/>
      <c r="TWZ22" s="65"/>
      <c r="TXA22" s="65"/>
      <c r="TXB22" s="65"/>
      <c r="TXC22" s="65"/>
      <c r="TXD22" s="65"/>
      <c r="TXE22" s="65"/>
      <c r="TXF22" s="65"/>
      <c r="TXG22" s="65"/>
      <c r="TXH22" s="65"/>
      <c r="TXI22" s="65"/>
      <c r="TXJ22" s="65"/>
      <c r="TXK22" s="65"/>
      <c r="TXL22" s="65"/>
      <c r="TXM22" s="65"/>
      <c r="TXN22" s="65"/>
      <c r="TXO22" s="65"/>
      <c r="TXP22" s="65"/>
      <c r="TXQ22" s="65"/>
      <c r="TXR22" s="65"/>
      <c r="TXS22" s="65"/>
      <c r="TXT22" s="65"/>
      <c r="TXU22" s="65"/>
      <c r="TXV22" s="65"/>
      <c r="TXW22" s="65"/>
      <c r="TXX22" s="65"/>
      <c r="TXY22" s="65"/>
      <c r="TXZ22" s="65"/>
      <c r="TYA22" s="65"/>
      <c r="TYB22" s="65"/>
      <c r="TYC22" s="65"/>
      <c r="TYD22" s="65"/>
      <c r="TYE22" s="65"/>
      <c r="TYF22" s="65"/>
      <c r="TYG22" s="65"/>
      <c r="TYH22" s="65"/>
      <c r="TYI22" s="65"/>
      <c r="TYJ22" s="65"/>
      <c r="TYK22" s="65"/>
      <c r="TYL22" s="65"/>
      <c r="TYM22" s="65"/>
      <c r="TYN22" s="65"/>
      <c r="TYO22" s="65"/>
      <c r="TYP22" s="65"/>
      <c r="TYQ22" s="65"/>
      <c r="TYR22" s="65"/>
      <c r="TYS22" s="65"/>
      <c r="TYT22" s="65"/>
      <c r="TYU22" s="65"/>
      <c r="TYV22" s="65"/>
      <c r="TYW22" s="65"/>
      <c r="TYX22" s="65"/>
      <c r="TYY22" s="65"/>
      <c r="TYZ22" s="65"/>
      <c r="TZA22" s="65"/>
      <c r="TZB22" s="65"/>
      <c r="TZC22" s="65"/>
      <c r="TZD22" s="65"/>
      <c r="TZE22" s="65"/>
      <c r="TZF22" s="65"/>
      <c r="TZG22" s="65"/>
      <c r="TZH22" s="65"/>
      <c r="TZI22" s="65"/>
      <c r="TZJ22" s="65"/>
      <c r="TZK22" s="65"/>
      <c r="TZL22" s="65"/>
      <c r="TZM22" s="65"/>
      <c r="TZN22" s="65"/>
      <c r="TZO22" s="65"/>
      <c r="TZP22" s="65"/>
      <c r="TZQ22" s="65"/>
      <c r="TZR22" s="65"/>
      <c r="TZS22" s="65"/>
      <c r="TZT22" s="65"/>
      <c r="TZU22" s="65"/>
      <c r="TZV22" s="65"/>
      <c r="TZW22" s="65"/>
      <c r="TZX22" s="65"/>
      <c r="TZY22" s="65"/>
      <c r="TZZ22" s="65"/>
      <c r="UAA22" s="65"/>
      <c r="UAB22" s="65"/>
      <c r="UAC22" s="65"/>
      <c r="UAD22" s="65"/>
      <c r="UAE22" s="65"/>
      <c r="UAF22" s="65"/>
      <c r="UAG22" s="65"/>
      <c r="UAH22" s="65"/>
      <c r="UAI22" s="65"/>
      <c r="UAJ22" s="65"/>
      <c r="UAK22" s="65"/>
      <c r="UAL22" s="65"/>
      <c r="UAM22" s="65"/>
      <c r="UAN22" s="65"/>
      <c r="UAO22" s="65"/>
      <c r="UAP22" s="65"/>
      <c r="UAQ22" s="65"/>
      <c r="UAR22" s="65"/>
      <c r="UAS22" s="65"/>
      <c r="UAT22" s="65"/>
      <c r="UAU22" s="65"/>
      <c r="UAV22" s="65"/>
      <c r="UAW22" s="65"/>
      <c r="UAX22" s="65"/>
      <c r="UAY22" s="65"/>
      <c r="UAZ22" s="65"/>
      <c r="UBA22" s="65"/>
      <c r="UBB22" s="65"/>
      <c r="UBC22" s="65"/>
      <c r="UBD22" s="65"/>
      <c r="UBE22" s="65"/>
      <c r="UBF22" s="65"/>
      <c r="UBG22" s="65"/>
      <c r="UBH22" s="65"/>
      <c r="UBI22" s="65"/>
      <c r="UBJ22" s="65"/>
      <c r="UBK22" s="65"/>
      <c r="UBL22" s="65"/>
      <c r="UBM22" s="65"/>
      <c r="UBN22" s="65"/>
      <c r="UBO22" s="65"/>
      <c r="UBP22" s="65"/>
      <c r="UBQ22" s="65"/>
      <c r="UBR22" s="65"/>
      <c r="UBS22" s="65"/>
      <c r="UBT22" s="65"/>
      <c r="UBU22" s="65"/>
      <c r="UBV22" s="65"/>
      <c r="UBW22" s="65"/>
      <c r="UBX22" s="65"/>
      <c r="UBY22" s="65"/>
      <c r="UBZ22" s="65"/>
      <c r="UCA22" s="65"/>
      <c r="UCB22" s="65"/>
      <c r="UCC22" s="65"/>
      <c r="UCD22" s="65"/>
      <c r="UCE22" s="65"/>
      <c r="UCF22" s="65"/>
      <c r="UCG22" s="65"/>
      <c r="UCH22" s="65"/>
      <c r="UCI22" s="65"/>
      <c r="UCJ22" s="65"/>
      <c r="UCK22" s="65"/>
      <c r="UCL22" s="65"/>
      <c r="UCM22" s="65"/>
      <c r="UCN22" s="65"/>
      <c r="UCO22" s="65"/>
      <c r="UCP22" s="65"/>
      <c r="UCQ22" s="65"/>
      <c r="UCR22" s="65"/>
      <c r="UCS22" s="65"/>
      <c r="UCT22" s="65"/>
      <c r="UCU22" s="65"/>
      <c r="UCV22" s="65"/>
      <c r="UCW22" s="65"/>
      <c r="UCX22" s="65"/>
      <c r="UCY22" s="65"/>
      <c r="UCZ22" s="65"/>
      <c r="UDA22" s="65"/>
      <c r="UDB22" s="65"/>
      <c r="UDC22" s="65"/>
      <c r="UDD22" s="65"/>
      <c r="UDE22" s="65"/>
      <c r="UDF22" s="65"/>
      <c r="UDG22" s="65"/>
      <c r="UDH22" s="65"/>
      <c r="UDI22" s="65"/>
      <c r="UDJ22" s="65"/>
      <c r="UDK22" s="65"/>
      <c r="UDL22" s="65"/>
      <c r="UDM22" s="65"/>
      <c r="UDN22" s="65"/>
      <c r="UDO22" s="65"/>
      <c r="UDP22" s="65"/>
      <c r="UDQ22" s="65"/>
      <c r="UDR22" s="65"/>
      <c r="UDS22" s="65"/>
      <c r="UDT22" s="65"/>
      <c r="UDU22" s="65"/>
      <c r="UDV22" s="65"/>
      <c r="UDW22" s="65"/>
      <c r="UDX22" s="65"/>
      <c r="UDY22" s="65"/>
      <c r="UDZ22" s="65"/>
      <c r="UEA22" s="65"/>
      <c r="UEB22" s="65"/>
      <c r="UEC22" s="65"/>
      <c r="UED22" s="65"/>
      <c r="UEE22" s="65"/>
      <c r="UEF22" s="65"/>
      <c r="UEG22" s="65"/>
      <c r="UEH22" s="65"/>
      <c r="UEI22" s="65"/>
      <c r="UEJ22" s="65"/>
      <c r="UEK22" s="65"/>
      <c r="UEL22" s="65"/>
      <c r="UEM22" s="65"/>
      <c r="UEN22" s="65"/>
      <c r="UEO22" s="65"/>
      <c r="UEP22" s="65"/>
      <c r="UEQ22" s="65"/>
      <c r="UER22" s="65"/>
      <c r="UES22" s="65"/>
      <c r="UET22" s="65"/>
      <c r="UEU22" s="65"/>
      <c r="UEV22" s="65"/>
      <c r="UEW22" s="65"/>
      <c r="UEX22" s="65"/>
      <c r="UEY22" s="65"/>
      <c r="UEZ22" s="65"/>
      <c r="UFA22" s="65"/>
      <c r="UFB22" s="65"/>
      <c r="UFC22" s="65"/>
      <c r="UFD22" s="65"/>
      <c r="UFE22" s="65"/>
      <c r="UFF22" s="65"/>
      <c r="UFG22" s="65"/>
      <c r="UFH22" s="65"/>
      <c r="UFI22" s="65"/>
      <c r="UFJ22" s="65"/>
      <c r="UFK22" s="65"/>
      <c r="UFL22" s="65"/>
      <c r="UFM22" s="65"/>
      <c r="UFN22" s="65"/>
      <c r="UFO22" s="65"/>
      <c r="UFP22" s="65"/>
      <c r="UFQ22" s="65"/>
      <c r="UFR22" s="65"/>
      <c r="UFS22" s="65"/>
      <c r="UFT22" s="65"/>
      <c r="UFU22" s="65"/>
      <c r="UFV22" s="65"/>
      <c r="UFW22" s="65"/>
      <c r="UFX22" s="65"/>
      <c r="UFY22" s="65"/>
      <c r="UFZ22" s="65"/>
      <c r="UGA22" s="65"/>
      <c r="UGB22" s="65"/>
      <c r="UGC22" s="65"/>
      <c r="UGD22" s="65"/>
      <c r="UGE22" s="65"/>
      <c r="UGF22" s="65"/>
      <c r="UGG22" s="65"/>
      <c r="UGH22" s="65"/>
      <c r="UGI22" s="65"/>
      <c r="UGJ22" s="65"/>
      <c r="UGK22" s="65"/>
      <c r="UGL22" s="65"/>
      <c r="UGM22" s="65"/>
      <c r="UGN22" s="65"/>
      <c r="UGO22" s="65"/>
      <c r="UGP22" s="65"/>
      <c r="UGQ22" s="65"/>
      <c r="UGR22" s="65"/>
      <c r="UGS22" s="65"/>
      <c r="UGT22" s="65"/>
      <c r="UGU22" s="65"/>
      <c r="UGV22" s="65"/>
      <c r="UGW22" s="65"/>
      <c r="UGX22" s="65"/>
      <c r="UGY22" s="65"/>
      <c r="UGZ22" s="65"/>
      <c r="UHA22" s="65"/>
      <c r="UHB22" s="65"/>
      <c r="UHC22" s="65"/>
      <c r="UHD22" s="65"/>
      <c r="UHE22" s="65"/>
      <c r="UHF22" s="65"/>
      <c r="UHG22" s="65"/>
      <c r="UHH22" s="65"/>
      <c r="UHI22" s="65"/>
      <c r="UHJ22" s="65"/>
      <c r="UHK22" s="65"/>
      <c r="UHL22" s="65"/>
      <c r="UHM22" s="65"/>
      <c r="UHN22" s="65"/>
      <c r="UHO22" s="65"/>
      <c r="UHP22" s="65"/>
      <c r="UHQ22" s="65"/>
      <c r="UHR22" s="65"/>
      <c r="UHS22" s="65"/>
      <c r="UHT22" s="65"/>
      <c r="UHU22" s="65"/>
      <c r="UHV22" s="65"/>
      <c r="UHW22" s="65"/>
      <c r="UHX22" s="65"/>
      <c r="UHY22" s="65"/>
      <c r="UHZ22" s="65"/>
      <c r="UIA22" s="65"/>
      <c r="UIB22" s="65"/>
      <c r="UIC22" s="65"/>
      <c r="UID22" s="65"/>
      <c r="UIE22" s="65"/>
      <c r="UIF22" s="65"/>
      <c r="UIG22" s="65"/>
      <c r="UIH22" s="65"/>
      <c r="UII22" s="65"/>
      <c r="UIJ22" s="65"/>
      <c r="UIK22" s="65"/>
      <c r="UIL22" s="65"/>
      <c r="UIM22" s="65"/>
      <c r="UIN22" s="65"/>
      <c r="UIO22" s="65"/>
      <c r="UIP22" s="65"/>
      <c r="UIQ22" s="65"/>
      <c r="UIR22" s="65"/>
      <c r="UIS22" s="65"/>
      <c r="UIT22" s="65"/>
      <c r="UIU22" s="65"/>
      <c r="UIV22" s="65"/>
      <c r="UIW22" s="65"/>
      <c r="UIX22" s="65"/>
      <c r="UIY22" s="65"/>
      <c r="UIZ22" s="65"/>
      <c r="UJA22" s="65"/>
      <c r="UJB22" s="65"/>
      <c r="UJC22" s="65"/>
      <c r="UJD22" s="65"/>
      <c r="UJE22" s="65"/>
      <c r="UJF22" s="65"/>
      <c r="UJG22" s="65"/>
      <c r="UJH22" s="65"/>
      <c r="UJI22" s="65"/>
      <c r="UJJ22" s="65"/>
      <c r="UJK22" s="65"/>
      <c r="UJL22" s="65"/>
      <c r="UJM22" s="65"/>
      <c r="UJN22" s="65"/>
      <c r="UJO22" s="65"/>
      <c r="UJP22" s="65"/>
      <c r="UJQ22" s="65"/>
      <c r="UJR22" s="65"/>
      <c r="UJS22" s="65"/>
      <c r="UJT22" s="65"/>
      <c r="UJU22" s="65"/>
      <c r="UJV22" s="65"/>
      <c r="UJW22" s="65"/>
      <c r="UJX22" s="65"/>
      <c r="UJY22" s="65"/>
      <c r="UJZ22" s="65"/>
      <c r="UKA22" s="65"/>
      <c r="UKB22" s="65"/>
      <c r="UKC22" s="65"/>
      <c r="UKD22" s="65"/>
      <c r="UKE22" s="65"/>
      <c r="UKF22" s="65"/>
      <c r="UKG22" s="65"/>
      <c r="UKH22" s="65"/>
      <c r="UKI22" s="65"/>
      <c r="UKJ22" s="65"/>
      <c r="UKK22" s="65"/>
      <c r="UKL22" s="65"/>
      <c r="UKM22" s="65"/>
      <c r="UKN22" s="65"/>
      <c r="UKO22" s="65"/>
      <c r="UKP22" s="65"/>
      <c r="UKQ22" s="65"/>
      <c r="UKR22" s="65"/>
      <c r="UKS22" s="65"/>
      <c r="UKT22" s="65"/>
      <c r="UKU22" s="65"/>
      <c r="UKV22" s="65"/>
      <c r="UKW22" s="65"/>
      <c r="UKX22" s="65"/>
      <c r="UKY22" s="65"/>
      <c r="UKZ22" s="65"/>
      <c r="ULA22" s="65"/>
      <c r="ULB22" s="65"/>
      <c r="ULC22" s="65"/>
      <c r="ULD22" s="65"/>
      <c r="ULE22" s="65"/>
      <c r="ULF22" s="65"/>
      <c r="ULG22" s="65"/>
      <c r="ULH22" s="65"/>
      <c r="ULI22" s="65"/>
      <c r="ULJ22" s="65"/>
      <c r="ULK22" s="65"/>
      <c r="ULL22" s="65"/>
      <c r="ULM22" s="65"/>
      <c r="ULN22" s="65"/>
      <c r="ULO22" s="65"/>
      <c r="ULP22" s="65"/>
      <c r="ULQ22" s="65"/>
      <c r="ULR22" s="65"/>
      <c r="ULS22" s="65"/>
      <c r="ULT22" s="65"/>
      <c r="ULU22" s="65"/>
      <c r="ULV22" s="65"/>
      <c r="ULW22" s="65"/>
      <c r="ULX22" s="65"/>
      <c r="ULY22" s="65"/>
      <c r="ULZ22" s="65"/>
      <c r="UMA22" s="65"/>
      <c r="UMB22" s="65"/>
      <c r="UMC22" s="65"/>
      <c r="UMD22" s="65"/>
      <c r="UME22" s="65"/>
      <c r="UMF22" s="65"/>
      <c r="UMG22" s="65"/>
      <c r="UMH22" s="65"/>
      <c r="UMI22" s="65"/>
      <c r="UMJ22" s="65"/>
      <c r="UMK22" s="65"/>
      <c r="UML22" s="65"/>
      <c r="UMM22" s="65"/>
      <c r="UMN22" s="65"/>
      <c r="UMO22" s="65"/>
      <c r="UMP22" s="65"/>
      <c r="UMQ22" s="65"/>
      <c r="UMR22" s="65"/>
      <c r="UMS22" s="65"/>
      <c r="UMT22" s="65"/>
      <c r="UMU22" s="65"/>
      <c r="UMV22" s="65"/>
      <c r="UMW22" s="65"/>
      <c r="UMX22" s="65"/>
      <c r="UMY22" s="65"/>
      <c r="UMZ22" s="65"/>
      <c r="UNA22" s="65"/>
      <c r="UNB22" s="65"/>
      <c r="UNC22" s="65"/>
      <c r="UND22" s="65"/>
      <c r="UNE22" s="65"/>
      <c r="UNF22" s="65"/>
      <c r="UNG22" s="65"/>
      <c r="UNH22" s="65"/>
      <c r="UNI22" s="65"/>
      <c r="UNJ22" s="65"/>
      <c r="UNK22" s="65"/>
      <c r="UNL22" s="65"/>
      <c r="UNM22" s="65"/>
      <c r="UNN22" s="65"/>
      <c r="UNO22" s="65"/>
      <c r="UNP22" s="65"/>
      <c r="UNQ22" s="65"/>
      <c r="UNR22" s="65"/>
      <c r="UNS22" s="65"/>
      <c r="UNT22" s="65"/>
      <c r="UNU22" s="65"/>
      <c r="UNV22" s="65"/>
      <c r="UNW22" s="65"/>
      <c r="UNX22" s="65"/>
      <c r="UNY22" s="65"/>
      <c r="UNZ22" s="65"/>
      <c r="UOA22" s="65"/>
      <c r="UOB22" s="65"/>
      <c r="UOC22" s="65"/>
      <c r="UOD22" s="65"/>
      <c r="UOE22" s="65"/>
      <c r="UOF22" s="65"/>
      <c r="UOG22" s="65"/>
      <c r="UOH22" s="65"/>
      <c r="UOI22" s="65"/>
      <c r="UOJ22" s="65"/>
      <c r="UOK22" s="65"/>
      <c r="UOL22" s="65"/>
      <c r="UOM22" s="65"/>
      <c r="UON22" s="65"/>
      <c r="UOO22" s="65"/>
      <c r="UOP22" s="65"/>
      <c r="UOQ22" s="65"/>
      <c r="UOR22" s="65"/>
      <c r="UOS22" s="65"/>
      <c r="UOT22" s="65"/>
      <c r="UOU22" s="65"/>
      <c r="UOV22" s="65"/>
      <c r="UOW22" s="65"/>
      <c r="UOX22" s="65"/>
      <c r="UOY22" s="65"/>
      <c r="UOZ22" s="65"/>
      <c r="UPA22" s="65"/>
      <c r="UPB22" s="65"/>
      <c r="UPC22" s="65"/>
      <c r="UPD22" s="65"/>
      <c r="UPE22" s="65"/>
      <c r="UPF22" s="65"/>
      <c r="UPG22" s="65"/>
      <c r="UPH22" s="65"/>
      <c r="UPI22" s="65"/>
      <c r="UPJ22" s="65"/>
      <c r="UPK22" s="65"/>
      <c r="UPL22" s="65"/>
      <c r="UPM22" s="65"/>
      <c r="UPN22" s="65"/>
      <c r="UPO22" s="65"/>
      <c r="UPP22" s="65"/>
      <c r="UPQ22" s="65"/>
      <c r="UPR22" s="65"/>
      <c r="UPS22" s="65"/>
      <c r="UPT22" s="65"/>
      <c r="UPU22" s="65"/>
      <c r="UPV22" s="65"/>
      <c r="UPW22" s="65"/>
      <c r="UPX22" s="65"/>
      <c r="UPY22" s="65"/>
      <c r="UPZ22" s="65"/>
      <c r="UQA22" s="65"/>
      <c r="UQB22" s="65"/>
      <c r="UQC22" s="65"/>
      <c r="UQD22" s="65"/>
      <c r="UQE22" s="65"/>
      <c r="UQF22" s="65"/>
      <c r="UQG22" s="65"/>
      <c r="UQH22" s="65"/>
      <c r="UQI22" s="65"/>
      <c r="UQJ22" s="65"/>
      <c r="UQK22" s="65"/>
      <c r="UQL22" s="65"/>
      <c r="UQM22" s="65"/>
      <c r="UQN22" s="65"/>
      <c r="UQO22" s="65"/>
      <c r="UQP22" s="65"/>
      <c r="UQQ22" s="65"/>
      <c r="UQR22" s="65"/>
      <c r="UQS22" s="65"/>
      <c r="UQT22" s="65"/>
      <c r="UQU22" s="65"/>
      <c r="UQV22" s="65"/>
      <c r="UQW22" s="65"/>
      <c r="UQX22" s="65"/>
      <c r="UQY22" s="65"/>
      <c r="UQZ22" s="65"/>
      <c r="URA22" s="65"/>
      <c r="URB22" s="65"/>
      <c r="URC22" s="65"/>
      <c r="URD22" s="65"/>
      <c r="URE22" s="65"/>
      <c r="URF22" s="65"/>
      <c r="URG22" s="65"/>
      <c r="URH22" s="65"/>
      <c r="URI22" s="65"/>
      <c r="URJ22" s="65"/>
      <c r="URK22" s="65"/>
      <c r="URL22" s="65"/>
      <c r="URM22" s="65"/>
      <c r="URN22" s="65"/>
      <c r="URO22" s="65"/>
      <c r="URP22" s="65"/>
      <c r="URQ22" s="65"/>
      <c r="URR22" s="65"/>
      <c r="URS22" s="65"/>
      <c r="URT22" s="65"/>
      <c r="URU22" s="65"/>
      <c r="URV22" s="65"/>
      <c r="URW22" s="65"/>
      <c r="URX22" s="65"/>
      <c r="URY22" s="65"/>
      <c r="URZ22" s="65"/>
      <c r="USA22" s="65"/>
      <c r="USB22" s="65"/>
      <c r="USC22" s="65"/>
      <c r="USD22" s="65"/>
      <c r="USE22" s="65"/>
      <c r="USF22" s="65"/>
      <c r="USG22" s="65"/>
      <c r="USH22" s="65"/>
      <c r="USI22" s="65"/>
      <c r="USJ22" s="65"/>
      <c r="USK22" s="65"/>
      <c r="USL22" s="65"/>
      <c r="USM22" s="65"/>
      <c r="USN22" s="65"/>
      <c r="USO22" s="65"/>
      <c r="USP22" s="65"/>
      <c r="USQ22" s="65"/>
      <c r="USR22" s="65"/>
      <c r="USS22" s="65"/>
      <c r="UST22" s="65"/>
      <c r="USU22" s="65"/>
      <c r="USV22" s="65"/>
      <c r="USW22" s="65"/>
      <c r="USX22" s="65"/>
      <c r="USY22" s="65"/>
      <c r="USZ22" s="65"/>
      <c r="UTA22" s="65"/>
      <c r="UTB22" s="65"/>
      <c r="UTC22" s="65"/>
      <c r="UTD22" s="65"/>
      <c r="UTE22" s="65"/>
      <c r="UTF22" s="65"/>
      <c r="UTG22" s="65"/>
      <c r="UTH22" s="65"/>
      <c r="UTI22" s="65"/>
      <c r="UTJ22" s="65"/>
      <c r="UTK22" s="65"/>
      <c r="UTL22" s="65"/>
      <c r="UTM22" s="65"/>
      <c r="UTN22" s="65"/>
      <c r="UTO22" s="65"/>
      <c r="UTP22" s="65"/>
      <c r="UTQ22" s="65"/>
      <c r="UTR22" s="65"/>
      <c r="UTS22" s="65"/>
      <c r="UTT22" s="65"/>
      <c r="UTU22" s="65"/>
      <c r="UTV22" s="65"/>
      <c r="UTW22" s="65"/>
      <c r="UTX22" s="65"/>
      <c r="UTY22" s="65"/>
      <c r="UTZ22" s="65"/>
      <c r="UUA22" s="65"/>
      <c r="UUB22" s="65"/>
      <c r="UUC22" s="65"/>
      <c r="UUD22" s="65"/>
      <c r="UUE22" s="65"/>
      <c r="UUF22" s="65"/>
      <c r="UUG22" s="65"/>
      <c r="UUH22" s="65"/>
      <c r="UUI22" s="65"/>
      <c r="UUJ22" s="65"/>
      <c r="UUK22" s="65"/>
      <c r="UUL22" s="65"/>
      <c r="UUM22" s="65"/>
      <c r="UUN22" s="65"/>
      <c r="UUO22" s="65"/>
      <c r="UUP22" s="65"/>
      <c r="UUQ22" s="65"/>
      <c r="UUR22" s="65"/>
      <c r="UUS22" s="65"/>
      <c r="UUT22" s="65"/>
      <c r="UUU22" s="65"/>
      <c r="UUV22" s="65"/>
      <c r="UUW22" s="65"/>
      <c r="UUX22" s="65"/>
      <c r="UUY22" s="65"/>
      <c r="UUZ22" s="65"/>
      <c r="UVA22" s="65"/>
      <c r="UVB22" s="65"/>
      <c r="UVC22" s="65"/>
      <c r="UVD22" s="65"/>
      <c r="UVE22" s="65"/>
      <c r="UVF22" s="65"/>
      <c r="UVG22" s="65"/>
      <c r="UVH22" s="65"/>
      <c r="UVI22" s="65"/>
      <c r="UVJ22" s="65"/>
      <c r="UVK22" s="65"/>
      <c r="UVL22" s="65"/>
      <c r="UVM22" s="65"/>
      <c r="UVN22" s="65"/>
      <c r="UVO22" s="65"/>
      <c r="UVP22" s="65"/>
      <c r="UVQ22" s="65"/>
      <c r="UVR22" s="65"/>
      <c r="UVS22" s="65"/>
      <c r="UVT22" s="65"/>
      <c r="UVU22" s="65"/>
      <c r="UVV22" s="65"/>
      <c r="UVW22" s="65"/>
      <c r="UVX22" s="65"/>
      <c r="UVY22" s="65"/>
      <c r="UVZ22" s="65"/>
      <c r="UWA22" s="65"/>
      <c r="UWB22" s="65"/>
      <c r="UWC22" s="65"/>
      <c r="UWD22" s="65"/>
      <c r="UWE22" s="65"/>
      <c r="UWF22" s="65"/>
      <c r="UWG22" s="65"/>
      <c r="UWH22" s="65"/>
      <c r="UWI22" s="65"/>
      <c r="UWJ22" s="65"/>
      <c r="UWK22" s="65"/>
      <c r="UWL22" s="65"/>
      <c r="UWM22" s="65"/>
      <c r="UWN22" s="65"/>
      <c r="UWO22" s="65"/>
      <c r="UWP22" s="65"/>
      <c r="UWQ22" s="65"/>
      <c r="UWR22" s="65"/>
      <c r="UWS22" s="65"/>
      <c r="UWT22" s="65"/>
      <c r="UWU22" s="65"/>
      <c r="UWV22" s="65"/>
      <c r="UWW22" s="65"/>
      <c r="UWX22" s="65"/>
      <c r="UWY22" s="65"/>
      <c r="UWZ22" s="65"/>
      <c r="UXA22" s="65"/>
      <c r="UXB22" s="65"/>
      <c r="UXC22" s="65"/>
      <c r="UXD22" s="65"/>
      <c r="UXE22" s="65"/>
      <c r="UXF22" s="65"/>
      <c r="UXG22" s="65"/>
      <c r="UXH22" s="65"/>
      <c r="UXI22" s="65"/>
      <c r="UXJ22" s="65"/>
      <c r="UXK22" s="65"/>
      <c r="UXL22" s="65"/>
      <c r="UXM22" s="65"/>
      <c r="UXN22" s="65"/>
      <c r="UXO22" s="65"/>
      <c r="UXP22" s="65"/>
      <c r="UXQ22" s="65"/>
      <c r="UXR22" s="65"/>
      <c r="UXS22" s="65"/>
      <c r="UXT22" s="65"/>
      <c r="UXU22" s="65"/>
      <c r="UXV22" s="65"/>
      <c r="UXW22" s="65"/>
      <c r="UXX22" s="65"/>
      <c r="UXY22" s="65"/>
      <c r="UXZ22" s="65"/>
      <c r="UYA22" s="65"/>
      <c r="UYB22" s="65"/>
      <c r="UYC22" s="65"/>
      <c r="UYD22" s="65"/>
      <c r="UYE22" s="65"/>
      <c r="UYF22" s="65"/>
      <c r="UYG22" s="65"/>
      <c r="UYH22" s="65"/>
      <c r="UYI22" s="65"/>
      <c r="UYJ22" s="65"/>
      <c r="UYK22" s="65"/>
      <c r="UYL22" s="65"/>
      <c r="UYM22" s="65"/>
      <c r="UYN22" s="65"/>
      <c r="UYO22" s="65"/>
      <c r="UYP22" s="65"/>
      <c r="UYQ22" s="65"/>
      <c r="UYR22" s="65"/>
      <c r="UYS22" s="65"/>
      <c r="UYT22" s="65"/>
      <c r="UYU22" s="65"/>
      <c r="UYV22" s="65"/>
      <c r="UYW22" s="65"/>
      <c r="UYX22" s="65"/>
      <c r="UYY22" s="65"/>
      <c r="UYZ22" s="65"/>
      <c r="UZA22" s="65"/>
      <c r="UZB22" s="65"/>
      <c r="UZC22" s="65"/>
      <c r="UZD22" s="65"/>
      <c r="UZE22" s="65"/>
      <c r="UZF22" s="65"/>
      <c r="UZG22" s="65"/>
      <c r="UZH22" s="65"/>
      <c r="UZI22" s="65"/>
      <c r="UZJ22" s="65"/>
      <c r="UZK22" s="65"/>
      <c r="UZL22" s="65"/>
      <c r="UZM22" s="65"/>
      <c r="UZN22" s="65"/>
      <c r="UZO22" s="65"/>
      <c r="UZP22" s="65"/>
      <c r="UZQ22" s="65"/>
      <c r="UZR22" s="65"/>
      <c r="UZS22" s="65"/>
      <c r="UZT22" s="65"/>
      <c r="UZU22" s="65"/>
      <c r="UZV22" s="65"/>
      <c r="UZW22" s="65"/>
      <c r="UZX22" s="65"/>
      <c r="UZY22" s="65"/>
      <c r="UZZ22" s="65"/>
      <c r="VAA22" s="65"/>
      <c r="VAB22" s="65"/>
      <c r="VAC22" s="65"/>
      <c r="VAD22" s="65"/>
      <c r="VAE22" s="65"/>
      <c r="VAF22" s="65"/>
      <c r="VAG22" s="65"/>
      <c r="VAH22" s="65"/>
      <c r="VAI22" s="65"/>
      <c r="VAJ22" s="65"/>
      <c r="VAK22" s="65"/>
      <c r="VAL22" s="65"/>
      <c r="VAM22" s="65"/>
      <c r="VAN22" s="65"/>
      <c r="VAO22" s="65"/>
      <c r="VAP22" s="65"/>
      <c r="VAQ22" s="65"/>
      <c r="VAR22" s="65"/>
      <c r="VAS22" s="65"/>
      <c r="VAT22" s="65"/>
      <c r="VAU22" s="65"/>
      <c r="VAV22" s="65"/>
      <c r="VAW22" s="65"/>
      <c r="VAX22" s="65"/>
      <c r="VAY22" s="65"/>
      <c r="VAZ22" s="65"/>
      <c r="VBA22" s="65"/>
      <c r="VBB22" s="65"/>
      <c r="VBC22" s="65"/>
      <c r="VBD22" s="65"/>
      <c r="VBE22" s="65"/>
      <c r="VBF22" s="65"/>
      <c r="VBG22" s="65"/>
      <c r="VBH22" s="65"/>
      <c r="VBI22" s="65"/>
      <c r="VBJ22" s="65"/>
      <c r="VBK22" s="65"/>
      <c r="VBL22" s="65"/>
      <c r="VBM22" s="65"/>
      <c r="VBN22" s="65"/>
      <c r="VBO22" s="65"/>
      <c r="VBP22" s="65"/>
      <c r="VBQ22" s="65"/>
      <c r="VBR22" s="65"/>
      <c r="VBS22" s="65"/>
      <c r="VBT22" s="65"/>
      <c r="VBU22" s="65"/>
      <c r="VBV22" s="65"/>
      <c r="VBW22" s="65"/>
      <c r="VBX22" s="65"/>
      <c r="VBY22" s="65"/>
      <c r="VBZ22" s="65"/>
      <c r="VCA22" s="65"/>
      <c r="VCB22" s="65"/>
      <c r="VCC22" s="65"/>
      <c r="VCD22" s="65"/>
      <c r="VCE22" s="65"/>
      <c r="VCF22" s="65"/>
      <c r="VCG22" s="65"/>
      <c r="VCH22" s="65"/>
      <c r="VCI22" s="65"/>
      <c r="VCJ22" s="65"/>
      <c r="VCK22" s="65"/>
      <c r="VCL22" s="65"/>
      <c r="VCM22" s="65"/>
      <c r="VCN22" s="65"/>
      <c r="VCO22" s="65"/>
      <c r="VCP22" s="65"/>
      <c r="VCQ22" s="65"/>
      <c r="VCR22" s="65"/>
      <c r="VCS22" s="65"/>
      <c r="VCT22" s="65"/>
      <c r="VCU22" s="65"/>
      <c r="VCV22" s="65"/>
      <c r="VCW22" s="65"/>
      <c r="VCX22" s="65"/>
      <c r="VCY22" s="65"/>
      <c r="VCZ22" s="65"/>
      <c r="VDA22" s="65"/>
      <c r="VDB22" s="65"/>
      <c r="VDC22" s="65"/>
      <c r="VDD22" s="65"/>
      <c r="VDE22" s="65"/>
      <c r="VDF22" s="65"/>
      <c r="VDG22" s="65"/>
      <c r="VDH22" s="65"/>
      <c r="VDI22" s="65"/>
      <c r="VDJ22" s="65"/>
      <c r="VDK22" s="65"/>
      <c r="VDL22" s="65"/>
      <c r="VDM22" s="65"/>
      <c r="VDN22" s="65"/>
      <c r="VDO22" s="65"/>
      <c r="VDP22" s="65"/>
      <c r="VDQ22" s="65"/>
      <c r="VDR22" s="65"/>
      <c r="VDS22" s="65"/>
      <c r="VDT22" s="65"/>
      <c r="VDU22" s="65"/>
      <c r="VDV22" s="65"/>
      <c r="VDW22" s="65"/>
      <c r="VDX22" s="65"/>
      <c r="VDY22" s="65"/>
      <c r="VDZ22" s="65"/>
      <c r="VEA22" s="65"/>
      <c r="VEB22" s="65"/>
      <c r="VEC22" s="65"/>
      <c r="VED22" s="65"/>
      <c r="VEE22" s="65"/>
      <c r="VEF22" s="65"/>
      <c r="VEG22" s="65"/>
      <c r="VEH22" s="65"/>
      <c r="VEI22" s="65"/>
      <c r="VEJ22" s="65"/>
      <c r="VEK22" s="65"/>
      <c r="VEL22" s="65"/>
      <c r="VEM22" s="65"/>
      <c r="VEN22" s="65"/>
      <c r="VEO22" s="65"/>
      <c r="VEP22" s="65"/>
      <c r="VEQ22" s="65"/>
      <c r="VER22" s="65"/>
      <c r="VES22" s="65"/>
      <c r="VET22" s="65"/>
      <c r="VEU22" s="65"/>
      <c r="VEV22" s="65"/>
      <c r="VEW22" s="65"/>
      <c r="VEX22" s="65"/>
      <c r="VEY22" s="65"/>
      <c r="VEZ22" s="65"/>
      <c r="VFA22" s="65"/>
      <c r="VFB22" s="65"/>
      <c r="VFC22" s="65"/>
      <c r="VFD22" s="65"/>
      <c r="VFE22" s="65"/>
      <c r="VFF22" s="65"/>
      <c r="VFG22" s="65"/>
      <c r="VFH22" s="65"/>
      <c r="VFI22" s="65"/>
      <c r="VFJ22" s="65"/>
      <c r="VFK22" s="65"/>
      <c r="VFL22" s="65"/>
      <c r="VFM22" s="65"/>
      <c r="VFN22" s="65"/>
      <c r="VFO22" s="65"/>
      <c r="VFP22" s="65"/>
      <c r="VFQ22" s="65"/>
      <c r="VFR22" s="65"/>
      <c r="VFS22" s="65"/>
      <c r="VFT22" s="65"/>
      <c r="VFU22" s="65"/>
      <c r="VFV22" s="65"/>
      <c r="VFW22" s="65"/>
      <c r="VFX22" s="65"/>
      <c r="VFY22" s="65"/>
      <c r="VFZ22" s="65"/>
      <c r="VGA22" s="65"/>
      <c r="VGB22" s="65"/>
      <c r="VGC22" s="65"/>
      <c r="VGD22" s="65"/>
      <c r="VGE22" s="65"/>
      <c r="VGF22" s="65"/>
      <c r="VGG22" s="65"/>
      <c r="VGH22" s="65"/>
      <c r="VGI22" s="65"/>
      <c r="VGJ22" s="65"/>
      <c r="VGK22" s="65"/>
      <c r="VGL22" s="65"/>
      <c r="VGM22" s="65"/>
      <c r="VGN22" s="65"/>
      <c r="VGO22" s="65"/>
      <c r="VGP22" s="65"/>
      <c r="VGQ22" s="65"/>
      <c r="VGR22" s="65"/>
      <c r="VGS22" s="65"/>
      <c r="VGT22" s="65"/>
      <c r="VGU22" s="65"/>
      <c r="VGV22" s="65"/>
      <c r="VGW22" s="65"/>
      <c r="VGX22" s="65"/>
      <c r="VGY22" s="65"/>
      <c r="VGZ22" s="65"/>
      <c r="VHA22" s="65"/>
      <c r="VHB22" s="65"/>
      <c r="VHC22" s="65"/>
      <c r="VHD22" s="65"/>
      <c r="VHE22" s="65"/>
      <c r="VHF22" s="65"/>
      <c r="VHG22" s="65"/>
      <c r="VHH22" s="65"/>
      <c r="VHI22" s="65"/>
      <c r="VHJ22" s="65"/>
      <c r="VHK22" s="65"/>
      <c r="VHL22" s="65"/>
      <c r="VHM22" s="65"/>
      <c r="VHN22" s="65"/>
      <c r="VHO22" s="65"/>
      <c r="VHP22" s="65"/>
      <c r="VHQ22" s="65"/>
      <c r="VHR22" s="65"/>
      <c r="VHS22" s="65"/>
      <c r="VHT22" s="65"/>
      <c r="VHU22" s="65"/>
      <c r="VHV22" s="65"/>
      <c r="VHW22" s="65"/>
      <c r="VHX22" s="65"/>
      <c r="VHY22" s="65"/>
      <c r="VHZ22" s="65"/>
      <c r="VIA22" s="65"/>
      <c r="VIB22" s="65"/>
      <c r="VIC22" s="65"/>
      <c r="VID22" s="65"/>
      <c r="VIE22" s="65"/>
      <c r="VIF22" s="65"/>
      <c r="VIG22" s="65"/>
      <c r="VIH22" s="65"/>
      <c r="VII22" s="65"/>
      <c r="VIJ22" s="65"/>
      <c r="VIK22" s="65"/>
      <c r="VIL22" s="65"/>
      <c r="VIM22" s="65"/>
      <c r="VIN22" s="65"/>
      <c r="VIO22" s="65"/>
      <c r="VIP22" s="65"/>
      <c r="VIQ22" s="65"/>
      <c r="VIR22" s="65"/>
      <c r="VIS22" s="65"/>
      <c r="VIT22" s="65"/>
      <c r="VIU22" s="65"/>
      <c r="VIV22" s="65"/>
      <c r="VIW22" s="65"/>
      <c r="VIX22" s="65"/>
      <c r="VIY22" s="65"/>
      <c r="VIZ22" s="65"/>
      <c r="VJA22" s="65"/>
      <c r="VJB22" s="65"/>
      <c r="VJC22" s="65"/>
      <c r="VJD22" s="65"/>
      <c r="VJE22" s="65"/>
      <c r="VJF22" s="65"/>
      <c r="VJG22" s="65"/>
      <c r="VJH22" s="65"/>
      <c r="VJI22" s="65"/>
      <c r="VJJ22" s="65"/>
      <c r="VJK22" s="65"/>
      <c r="VJL22" s="65"/>
      <c r="VJM22" s="65"/>
      <c r="VJN22" s="65"/>
      <c r="VJO22" s="65"/>
      <c r="VJP22" s="65"/>
      <c r="VJQ22" s="65"/>
      <c r="VJR22" s="65"/>
      <c r="VJS22" s="65"/>
      <c r="VJT22" s="65"/>
      <c r="VJU22" s="65"/>
      <c r="VJV22" s="65"/>
      <c r="VJW22" s="65"/>
      <c r="VJX22" s="65"/>
      <c r="VJY22" s="65"/>
      <c r="VJZ22" s="65"/>
      <c r="VKA22" s="65"/>
      <c r="VKB22" s="65"/>
      <c r="VKC22" s="65"/>
      <c r="VKD22" s="65"/>
      <c r="VKE22" s="65"/>
      <c r="VKF22" s="65"/>
      <c r="VKG22" s="65"/>
      <c r="VKH22" s="65"/>
      <c r="VKI22" s="65"/>
      <c r="VKJ22" s="65"/>
      <c r="VKK22" s="65"/>
      <c r="VKL22" s="65"/>
      <c r="VKM22" s="65"/>
      <c r="VKN22" s="65"/>
      <c r="VKO22" s="65"/>
      <c r="VKP22" s="65"/>
      <c r="VKQ22" s="65"/>
      <c r="VKR22" s="65"/>
      <c r="VKS22" s="65"/>
      <c r="VKT22" s="65"/>
      <c r="VKU22" s="65"/>
      <c r="VKV22" s="65"/>
      <c r="VKW22" s="65"/>
      <c r="VKX22" s="65"/>
      <c r="VKY22" s="65"/>
      <c r="VKZ22" s="65"/>
      <c r="VLA22" s="65"/>
      <c r="VLB22" s="65"/>
      <c r="VLC22" s="65"/>
      <c r="VLD22" s="65"/>
      <c r="VLE22" s="65"/>
      <c r="VLF22" s="65"/>
      <c r="VLG22" s="65"/>
      <c r="VLH22" s="65"/>
      <c r="VLI22" s="65"/>
      <c r="VLJ22" s="65"/>
      <c r="VLK22" s="65"/>
      <c r="VLL22" s="65"/>
      <c r="VLM22" s="65"/>
      <c r="VLN22" s="65"/>
      <c r="VLO22" s="65"/>
      <c r="VLP22" s="65"/>
      <c r="VLQ22" s="65"/>
      <c r="VLR22" s="65"/>
      <c r="VLS22" s="65"/>
      <c r="VLT22" s="65"/>
      <c r="VLU22" s="65"/>
      <c r="VLV22" s="65"/>
      <c r="VLW22" s="65"/>
      <c r="VLX22" s="65"/>
      <c r="VLY22" s="65"/>
      <c r="VLZ22" s="65"/>
      <c r="VMA22" s="65"/>
      <c r="VMB22" s="65"/>
      <c r="VMC22" s="65"/>
      <c r="VMD22" s="65"/>
      <c r="VME22" s="65"/>
      <c r="VMF22" s="65"/>
      <c r="VMG22" s="65"/>
      <c r="VMH22" s="65"/>
      <c r="VMI22" s="65"/>
      <c r="VMJ22" s="65"/>
      <c r="VMK22" s="65"/>
      <c r="VML22" s="65"/>
      <c r="VMM22" s="65"/>
      <c r="VMN22" s="65"/>
      <c r="VMO22" s="65"/>
      <c r="VMP22" s="65"/>
      <c r="VMQ22" s="65"/>
      <c r="VMR22" s="65"/>
      <c r="VMS22" s="65"/>
      <c r="VMT22" s="65"/>
      <c r="VMU22" s="65"/>
      <c r="VMV22" s="65"/>
      <c r="VMW22" s="65"/>
      <c r="VMX22" s="65"/>
      <c r="VMY22" s="65"/>
      <c r="VMZ22" s="65"/>
      <c r="VNA22" s="65"/>
      <c r="VNB22" s="65"/>
      <c r="VNC22" s="65"/>
      <c r="VND22" s="65"/>
      <c r="VNE22" s="65"/>
      <c r="VNF22" s="65"/>
      <c r="VNG22" s="65"/>
      <c r="VNH22" s="65"/>
      <c r="VNI22" s="65"/>
      <c r="VNJ22" s="65"/>
      <c r="VNK22" s="65"/>
      <c r="VNL22" s="65"/>
      <c r="VNM22" s="65"/>
      <c r="VNN22" s="65"/>
      <c r="VNO22" s="65"/>
      <c r="VNP22" s="65"/>
      <c r="VNQ22" s="65"/>
      <c r="VNR22" s="65"/>
      <c r="VNS22" s="65"/>
      <c r="VNT22" s="65"/>
      <c r="VNU22" s="65"/>
      <c r="VNV22" s="65"/>
      <c r="VNW22" s="65"/>
      <c r="VNX22" s="65"/>
      <c r="VNY22" s="65"/>
      <c r="VNZ22" s="65"/>
      <c r="VOA22" s="65"/>
      <c r="VOB22" s="65"/>
      <c r="VOC22" s="65"/>
      <c r="VOD22" s="65"/>
      <c r="VOE22" s="65"/>
      <c r="VOF22" s="65"/>
      <c r="VOG22" s="65"/>
      <c r="VOH22" s="65"/>
      <c r="VOI22" s="65"/>
      <c r="VOJ22" s="65"/>
      <c r="VOK22" s="65"/>
      <c r="VOL22" s="65"/>
      <c r="VOM22" s="65"/>
      <c r="VON22" s="65"/>
      <c r="VOO22" s="65"/>
      <c r="VOP22" s="65"/>
      <c r="VOQ22" s="65"/>
      <c r="VOR22" s="65"/>
      <c r="VOS22" s="65"/>
      <c r="VOT22" s="65"/>
      <c r="VOU22" s="65"/>
      <c r="VOV22" s="65"/>
      <c r="VOW22" s="65"/>
      <c r="VOX22" s="65"/>
      <c r="VOY22" s="65"/>
      <c r="VOZ22" s="65"/>
      <c r="VPA22" s="65"/>
      <c r="VPB22" s="65"/>
      <c r="VPC22" s="65"/>
      <c r="VPD22" s="65"/>
      <c r="VPE22" s="65"/>
      <c r="VPF22" s="65"/>
      <c r="VPG22" s="65"/>
      <c r="VPH22" s="65"/>
      <c r="VPI22" s="65"/>
      <c r="VPJ22" s="65"/>
      <c r="VPK22" s="65"/>
      <c r="VPL22" s="65"/>
      <c r="VPM22" s="65"/>
      <c r="VPN22" s="65"/>
      <c r="VPO22" s="65"/>
      <c r="VPP22" s="65"/>
      <c r="VPQ22" s="65"/>
      <c r="VPR22" s="65"/>
      <c r="VPS22" s="65"/>
      <c r="VPT22" s="65"/>
      <c r="VPU22" s="65"/>
      <c r="VPV22" s="65"/>
      <c r="VPW22" s="65"/>
      <c r="VPX22" s="65"/>
      <c r="VPY22" s="65"/>
      <c r="VPZ22" s="65"/>
      <c r="VQA22" s="65"/>
      <c r="VQB22" s="65"/>
      <c r="VQC22" s="65"/>
      <c r="VQD22" s="65"/>
      <c r="VQE22" s="65"/>
      <c r="VQF22" s="65"/>
      <c r="VQG22" s="65"/>
      <c r="VQH22" s="65"/>
      <c r="VQI22" s="65"/>
      <c r="VQJ22" s="65"/>
      <c r="VQK22" s="65"/>
      <c r="VQL22" s="65"/>
      <c r="VQM22" s="65"/>
      <c r="VQN22" s="65"/>
      <c r="VQO22" s="65"/>
      <c r="VQP22" s="65"/>
      <c r="VQQ22" s="65"/>
      <c r="VQR22" s="65"/>
      <c r="VQS22" s="65"/>
      <c r="VQT22" s="65"/>
      <c r="VQU22" s="65"/>
      <c r="VQV22" s="65"/>
      <c r="VQW22" s="65"/>
      <c r="VQX22" s="65"/>
      <c r="VQY22" s="65"/>
      <c r="VQZ22" s="65"/>
      <c r="VRA22" s="65"/>
      <c r="VRB22" s="65"/>
      <c r="VRC22" s="65"/>
      <c r="VRD22" s="65"/>
      <c r="VRE22" s="65"/>
      <c r="VRF22" s="65"/>
      <c r="VRG22" s="65"/>
      <c r="VRH22" s="65"/>
      <c r="VRI22" s="65"/>
      <c r="VRJ22" s="65"/>
      <c r="VRK22" s="65"/>
      <c r="VRL22" s="65"/>
      <c r="VRM22" s="65"/>
      <c r="VRN22" s="65"/>
      <c r="VRO22" s="65"/>
      <c r="VRP22" s="65"/>
      <c r="VRQ22" s="65"/>
      <c r="VRR22" s="65"/>
      <c r="VRS22" s="65"/>
      <c r="VRT22" s="65"/>
      <c r="VRU22" s="65"/>
      <c r="VRV22" s="65"/>
      <c r="VRW22" s="65"/>
      <c r="VRX22" s="65"/>
      <c r="VRY22" s="65"/>
      <c r="VRZ22" s="65"/>
      <c r="VSA22" s="65"/>
      <c r="VSB22" s="65"/>
      <c r="VSC22" s="65"/>
      <c r="VSD22" s="65"/>
      <c r="VSE22" s="65"/>
      <c r="VSF22" s="65"/>
      <c r="VSG22" s="65"/>
      <c r="VSH22" s="65"/>
      <c r="VSI22" s="65"/>
      <c r="VSJ22" s="65"/>
      <c r="VSK22" s="65"/>
      <c r="VSL22" s="65"/>
      <c r="VSM22" s="65"/>
      <c r="VSN22" s="65"/>
      <c r="VSO22" s="65"/>
      <c r="VSP22" s="65"/>
      <c r="VSQ22" s="65"/>
      <c r="VSR22" s="65"/>
      <c r="VSS22" s="65"/>
      <c r="VST22" s="65"/>
      <c r="VSU22" s="65"/>
      <c r="VSV22" s="65"/>
      <c r="VSW22" s="65"/>
      <c r="VSX22" s="65"/>
      <c r="VSY22" s="65"/>
      <c r="VSZ22" s="65"/>
      <c r="VTA22" s="65"/>
      <c r="VTB22" s="65"/>
      <c r="VTC22" s="65"/>
      <c r="VTD22" s="65"/>
      <c r="VTE22" s="65"/>
      <c r="VTF22" s="65"/>
      <c r="VTG22" s="65"/>
      <c r="VTH22" s="65"/>
      <c r="VTI22" s="65"/>
      <c r="VTJ22" s="65"/>
      <c r="VTK22" s="65"/>
      <c r="VTL22" s="65"/>
      <c r="VTM22" s="65"/>
      <c r="VTN22" s="65"/>
      <c r="VTO22" s="65"/>
      <c r="VTP22" s="65"/>
      <c r="VTQ22" s="65"/>
      <c r="VTR22" s="65"/>
      <c r="VTS22" s="65"/>
      <c r="VTT22" s="65"/>
      <c r="VTU22" s="65"/>
      <c r="VTV22" s="65"/>
      <c r="VTW22" s="65"/>
      <c r="VTX22" s="65"/>
      <c r="VTY22" s="65"/>
      <c r="VTZ22" s="65"/>
      <c r="VUA22" s="65"/>
      <c r="VUB22" s="65"/>
      <c r="VUC22" s="65"/>
      <c r="VUD22" s="65"/>
      <c r="VUE22" s="65"/>
      <c r="VUF22" s="65"/>
      <c r="VUG22" s="65"/>
      <c r="VUH22" s="65"/>
      <c r="VUI22" s="65"/>
      <c r="VUJ22" s="65"/>
      <c r="VUK22" s="65"/>
      <c r="VUL22" s="65"/>
      <c r="VUM22" s="65"/>
      <c r="VUN22" s="65"/>
      <c r="VUO22" s="65"/>
      <c r="VUP22" s="65"/>
      <c r="VUQ22" s="65"/>
      <c r="VUR22" s="65"/>
      <c r="VUS22" s="65"/>
      <c r="VUT22" s="65"/>
      <c r="VUU22" s="65"/>
      <c r="VUV22" s="65"/>
      <c r="VUW22" s="65"/>
      <c r="VUX22" s="65"/>
      <c r="VUY22" s="65"/>
      <c r="VUZ22" s="65"/>
      <c r="VVA22" s="65"/>
      <c r="VVB22" s="65"/>
      <c r="VVC22" s="65"/>
      <c r="VVD22" s="65"/>
      <c r="VVE22" s="65"/>
      <c r="VVF22" s="65"/>
      <c r="VVG22" s="65"/>
      <c r="VVH22" s="65"/>
      <c r="VVI22" s="65"/>
      <c r="VVJ22" s="65"/>
      <c r="VVK22" s="65"/>
      <c r="VVL22" s="65"/>
      <c r="VVM22" s="65"/>
      <c r="VVN22" s="65"/>
      <c r="VVO22" s="65"/>
      <c r="VVP22" s="65"/>
      <c r="VVQ22" s="65"/>
      <c r="VVR22" s="65"/>
      <c r="VVS22" s="65"/>
      <c r="VVT22" s="65"/>
      <c r="VVU22" s="65"/>
      <c r="VVV22" s="65"/>
      <c r="VVW22" s="65"/>
      <c r="VVX22" s="65"/>
      <c r="VVY22" s="65"/>
      <c r="VVZ22" s="65"/>
      <c r="VWA22" s="65"/>
      <c r="VWB22" s="65"/>
      <c r="VWC22" s="65"/>
      <c r="VWD22" s="65"/>
      <c r="VWE22" s="65"/>
      <c r="VWF22" s="65"/>
      <c r="VWG22" s="65"/>
      <c r="VWH22" s="65"/>
      <c r="VWI22" s="65"/>
      <c r="VWJ22" s="65"/>
      <c r="VWK22" s="65"/>
      <c r="VWL22" s="65"/>
      <c r="VWM22" s="65"/>
      <c r="VWN22" s="65"/>
      <c r="VWO22" s="65"/>
      <c r="VWP22" s="65"/>
      <c r="VWQ22" s="65"/>
      <c r="VWR22" s="65"/>
      <c r="VWS22" s="65"/>
      <c r="VWT22" s="65"/>
      <c r="VWU22" s="65"/>
      <c r="VWV22" s="65"/>
      <c r="VWW22" s="65"/>
      <c r="VWX22" s="65"/>
      <c r="VWY22" s="65"/>
      <c r="VWZ22" s="65"/>
      <c r="VXA22" s="65"/>
      <c r="VXB22" s="65"/>
      <c r="VXC22" s="65"/>
      <c r="VXD22" s="65"/>
      <c r="VXE22" s="65"/>
      <c r="VXF22" s="65"/>
      <c r="VXG22" s="65"/>
      <c r="VXH22" s="65"/>
      <c r="VXI22" s="65"/>
      <c r="VXJ22" s="65"/>
      <c r="VXK22" s="65"/>
      <c r="VXL22" s="65"/>
      <c r="VXM22" s="65"/>
      <c r="VXN22" s="65"/>
      <c r="VXO22" s="65"/>
      <c r="VXP22" s="65"/>
      <c r="VXQ22" s="65"/>
      <c r="VXR22" s="65"/>
      <c r="VXS22" s="65"/>
      <c r="VXT22" s="65"/>
      <c r="VXU22" s="65"/>
      <c r="VXV22" s="65"/>
      <c r="VXW22" s="65"/>
      <c r="VXX22" s="65"/>
      <c r="VXY22" s="65"/>
      <c r="VXZ22" s="65"/>
      <c r="VYA22" s="65"/>
      <c r="VYB22" s="65"/>
      <c r="VYC22" s="65"/>
      <c r="VYD22" s="65"/>
      <c r="VYE22" s="65"/>
      <c r="VYF22" s="65"/>
      <c r="VYG22" s="65"/>
      <c r="VYH22" s="65"/>
      <c r="VYI22" s="65"/>
      <c r="VYJ22" s="65"/>
      <c r="VYK22" s="65"/>
      <c r="VYL22" s="65"/>
      <c r="VYM22" s="65"/>
      <c r="VYN22" s="65"/>
      <c r="VYO22" s="65"/>
      <c r="VYP22" s="65"/>
      <c r="VYQ22" s="65"/>
      <c r="VYR22" s="65"/>
      <c r="VYS22" s="65"/>
      <c r="VYT22" s="65"/>
      <c r="VYU22" s="65"/>
      <c r="VYV22" s="65"/>
      <c r="VYW22" s="65"/>
      <c r="VYX22" s="65"/>
      <c r="VYY22" s="65"/>
      <c r="VYZ22" s="65"/>
      <c r="VZA22" s="65"/>
      <c r="VZB22" s="65"/>
      <c r="VZC22" s="65"/>
      <c r="VZD22" s="65"/>
      <c r="VZE22" s="65"/>
      <c r="VZF22" s="65"/>
      <c r="VZG22" s="65"/>
      <c r="VZH22" s="65"/>
      <c r="VZI22" s="65"/>
      <c r="VZJ22" s="65"/>
      <c r="VZK22" s="65"/>
      <c r="VZL22" s="65"/>
      <c r="VZM22" s="65"/>
      <c r="VZN22" s="65"/>
      <c r="VZO22" s="65"/>
      <c r="VZP22" s="65"/>
      <c r="VZQ22" s="65"/>
      <c r="VZR22" s="65"/>
      <c r="VZS22" s="65"/>
      <c r="VZT22" s="65"/>
      <c r="VZU22" s="65"/>
      <c r="VZV22" s="65"/>
      <c r="VZW22" s="65"/>
      <c r="VZX22" s="65"/>
      <c r="VZY22" s="65"/>
      <c r="VZZ22" s="65"/>
      <c r="WAA22" s="65"/>
      <c r="WAB22" s="65"/>
      <c r="WAC22" s="65"/>
      <c r="WAD22" s="65"/>
      <c r="WAE22" s="65"/>
      <c r="WAF22" s="65"/>
      <c r="WAG22" s="65"/>
      <c r="WAH22" s="65"/>
      <c r="WAI22" s="65"/>
      <c r="WAJ22" s="65"/>
      <c r="WAK22" s="65"/>
      <c r="WAL22" s="65"/>
      <c r="WAM22" s="65"/>
      <c r="WAN22" s="65"/>
      <c r="WAO22" s="65"/>
      <c r="WAP22" s="65"/>
      <c r="WAQ22" s="65"/>
      <c r="WAR22" s="65"/>
      <c r="WAS22" s="65"/>
      <c r="WAT22" s="65"/>
      <c r="WAU22" s="65"/>
      <c r="WAV22" s="65"/>
      <c r="WAW22" s="65"/>
      <c r="WAX22" s="65"/>
      <c r="WAY22" s="65"/>
      <c r="WAZ22" s="65"/>
      <c r="WBA22" s="65"/>
      <c r="WBB22" s="65"/>
      <c r="WBC22" s="65"/>
      <c r="WBD22" s="65"/>
      <c r="WBE22" s="65"/>
      <c r="WBF22" s="65"/>
      <c r="WBG22" s="65"/>
      <c r="WBH22" s="65"/>
      <c r="WBI22" s="65"/>
      <c r="WBJ22" s="65"/>
      <c r="WBK22" s="65"/>
      <c r="WBL22" s="65"/>
      <c r="WBM22" s="65"/>
      <c r="WBN22" s="65"/>
      <c r="WBO22" s="65"/>
      <c r="WBP22" s="65"/>
      <c r="WBQ22" s="65"/>
      <c r="WBR22" s="65"/>
      <c r="WBS22" s="65"/>
      <c r="WBT22" s="65"/>
      <c r="WBU22" s="65"/>
      <c r="WBV22" s="65"/>
      <c r="WBW22" s="65"/>
      <c r="WBX22" s="65"/>
      <c r="WBY22" s="65"/>
      <c r="WBZ22" s="65"/>
      <c r="WCA22" s="65"/>
      <c r="WCB22" s="65"/>
      <c r="WCC22" s="65"/>
      <c r="WCD22" s="65"/>
      <c r="WCE22" s="65"/>
      <c r="WCF22" s="65"/>
      <c r="WCG22" s="65"/>
      <c r="WCH22" s="65"/>
      <c r="WCI22" s="65"/>
      <c r="WCJ22" s="65"/>
      <c r="WCK22" s="65"/>
      <c r="WCL22" s="65"/>
      <c r="WCM22" s="65"/>
      <c r="WCN22" s="65"/>
      <c r="WCO22" s="65"/>
      <c r="WCP22" s="65"/>
      <c r="WCQ22" s="65"/>
      <c r="WCR22" s="65"/>
      <c r="WCS22" s="65"/>
      <c r="WCT22" s="65"/>
      <c r="WCU22" s="65"/>
      <c r="WCV22" s="65"/>
      <c r="WCW22" s="65"/>
      <c r="WCX22" s="65"/>
      <c r="WCY22" s="65"/>
      <c r="WCZ22" s="65"/>
      <c r="WDA22" s="65"/>
      <c r="WDB22" s="65"/>
      <c r="WDC22" s="65"/>
      <c r="WDD22" s="65"/>
      <c r="WDE22" s="65"/>
      <c r="WDF22" s="65"/>
      <c r="WDG22" s="65"/>
      <c r="WDH22" s="65"/>
      <c r="WDI22" s="65"/>
      <c r="WDJ22" s="65"/>
      <c r="WDK22" s="65"/>
      <c r="WDL22" s="65"/>
      <c r="WDM22" s="65"/>
      <c r="WDN22" s="65"/>
      <c r="WDO22" s="65"/>
      <c r="WDP22" s="65"/>
      <c r="WDQ22" s="65"/>
      <c r="WDR22" s="65"/>
      <c r="WDS22" s="65"/>
      <c r="WDT22" s="65"/>
      <c r="WDU22" s="65"/>
      <c r="WDV22" s="65"/>
      <c r="WDW22" s="65"/>
      <c r="WDX22" s="65"/>
      <c r="WDY22" s="65"/>
      <c r="WDZ22" s="65"/>
      <c r="WEA22" s="65"/>
      <c r="WEB22" s="65"/>
      <c r="WEC22" s="65"/>
      <c r="WED22" s="65"/>
      <c r="WEE22" s="65"/>
      <c r="WEF22" s="65"/>
      <c r="WEG22" s="65"/>
      <c r="WEH22" s="65"/>
      <c r="WEI22" s="65"/>
      <c r="WEJ22" s="65"/>
      <c r="WEK22" s="65"/>
      <c r="WEL22" s="65"/>
      <c r="WEM22" s="65"/>
      <c r="WEN22" s="65"/>
      <c r="WEO22" s="65"/>
      <c r="WEP22" s="65"/>
      <c r="WEQ22" s="65"/>
      <c r="WER22" s="65"/>
      <c r="WES22" s="65"/>
      <c r="WET22" s="65"/>
      <c r="WEU22" s="65"/>
      <c r="WEV22" s="65"/>
      <c r="WEW22" s="65"/>
      <c r="WEX22" s="65"/>
      <c r="WEY22" s="65"/>
      <c r="WEZ22" s="65"/>
      <c r="WFA22" s="65"/>
      <c r="WFB22" s="65"/>
      <c r="WFC22" s="65"/>
      <c r="WFD22" s="65"/>
      <c r="WFE22" s="65"/>
      <c r="WFF22" s="65"/>
      <c r="WFG22" s="65"/>
      <c r="WFH22" s="65"/>
      <c r="WFI22" s="65"/>
      <c r="WFJ22" s="65"/>
      <c r="WFK22" s="65"/>
      <c r="WFL22" s="65"/>
      <c r="WFM22" s="65"/>
      <c r="WFN22" s="65"/>
      <c r="WFO22" s="65"/>
      <c r="WFP22" s="65"/>
      <c r="WFQ22" s="65"/>
      <c r="WFR22" s="65"/>
      <c r="WFS22" s="65"/>
      <c r="WFT22" s="65"/>
      <c r="WFU22" s="65"/>
      <c r="WFV22" s="65"/>
      <c r="WFW22" s="65"/>
      <c r="WFX22" s="65"/>
      <c r="WFY22" s="65"/>
      <c r="WFZ22" s="65"/>
      <c r="WGA22" s="65"/>
      <c r="WGB22" s="65"/>
      <c r="WGC22" s="65"/>
      <c r="WGD22" s="65"/>
      <c r="WGE22" s="65"/>
      <c r="WGF22" s="65"/>
      <c r="WGG22" s="65"/>
      <c r="WGH22" s="65"/>
      <c r="WGI22" s="65"/>
      <c r="WGJ22" s="65"/>
      <c r="WGK22" s="65"/>
      <c r="WGL22" s="65"/>
      <c r="WGM22" s="65"/>
      <c r="WGN22" s="65"/>
      <c r="WGO22" s="65"/>
      <c r="WGP22" s="65"/>
      <c r="WGQ22" s="65"/>
      <c r="WGR22" s="65"/>
      <c r="WGS22" s="65"/>
      <c r="WGT22" s="65"/>
      <c r="WGU22" s="65"/>
      <c r="WGV22" s="65"/>
      <c r="WGW22" s="65"/>
      <c r="WGX22" s="65"/>
      <c r="WGY22" s="65"/>
      <c r="WGZ22" s="65"/>
      <c r="WHA22" s="65"/>
      <c r="WHB22" s="65"/>
      <c r="WHC22" s="65"/>
      <c r="WHD22" s="65"/>
      <c r="WHE22" s="65"/>
      <c r="WHF22" s="65"/>
      <c r="WHG22" s="65"/>
      <c r="WHH22" s="65"/>
      <c r="WHI22" s="65"/>
      <c r="WHJ22" s="65"/>
      <c r="WHK22" s="65"/>
      <c r="WHL22" s="65"/>
      <c r="WHM22" s="65"/>
      <c r="WHN22" s="65"/>
      <c r="WHO22" s="65"/>
      <c r="WHP22" s="65"/>
      <c r="WHQ22" s="65"/>
      <c r="WHR22" s="65"/>
      <c r="WHS22" s="65"/>
      <c r="WHT22" s="65"/>
      <c r="WHU22" s="65"/>
      <c r="WHV22" s="65"/>
      <c r="WHW22" s="65"/>
      <c r="WHX22" s="65"/>
      <c r="WHY22" s="65"/>
      <c r="WHZ22" s="65"/>
      <c r="WIA22" s="65"/>
      <c r="WIB22" s="65"/>
      <c r="WIC22" s="65"/>
      <c r="WID22" s="65"/>
      <c r="WIE22" s="65"/>
      <c r="WIF22" s="65"/>
      <c r="WIG22" s="65"/>
      <c r="WIH22" s="65"/>
      <c r="WII22" s="65"/>
      <c r="WIJ22" s="65"/>
      <c r="WIK22" s="65"/>
      <c r="WIL22" s="65"/>
      <c r="WIM22" s="65"/>
      <c r="WIN22" s="65"/>
      <c r="WIO22" s="65"/>
      <c r="WIP22" s="65"/>
      <c r="WIQ22" s="65"/>
      <c r="WIR22" s="65"/>
      <c r="WIS22" s="65"/>
      <c r="WIT22" s="65"/>
      <c r="WIU22" s="65"/>
      <c r="WIV22" s="65"/>
      <c r="WIW22" s="65"/>
      <c r="WIX22" s="65"/>
      <c r="WIY22" s="65"/>
      <c r="WIZ22" s="65"/>
      <c r="WJA22" s="65"/>
      <c r="WJB22" s="65"/>
      <c r="WJC22" s="65"/>
      <c r="WJD22" s="65"/>
      <c r="WJE22" s="65"/>
      <c r="WJF22" s="65"/>
      <c r="WJG22" s="65"/>
      <c r="WJH22" s="65"/>
      <c r="WJI22" s="65"/>
      <c r="WJJ22" s="65"/>
      <c r="WJK22" s="65"/>
      <c r="WJL22" s="65"/>
      <c r="WJM22" s="65"/>
      <c r="WJN22" s="65"/>
      <c r="WJO22" s="65"/>
      <c r="WJP22" s="65"/>
      <c r="WJQ22" s="65"/>
      <c r="WJR22" s="65"/>
      <c r="WJS22" s="65"/>
      <c r="WJT22" s="65"/>
      <c r="WJU22" s="65"/>
      <c r="WJV22" s="65"/>
      <c r="WJW22" s="65"/>
      <c r="WJX22" s="65"/>
      <c r="WJY22" s="65"/>
      <c r="WJZ22" s="65"/>
      <c r="WKA22" s="65"/>
      <c r="WKB22" s="65"/>
      <c r="WKC22" s="65"/>
      <c r="WKD22" s="65"/>
      <c r="WKE22" s="65"/>
      <c r="WKF22" s="65"/>
      <c r="WKG22" s="65"/>
      <c r="WKH22" s="65"/>
      <c r="WKI22" s="65"/>
      <c r="WKJ22" s="65"/>
      <c r="WKK22" s="65"/>
      <c r="WKL22" s="65"/>
      <c r="WKM22" s="65"/>
      <c r="WKN22" s="65"/>
      <c r="WKO22" s="65"/>
      <c r="WKP22" s="65"/>
      <c r="WKQ22" s="65"/>
      <c r="WKR22" s="65"/>
      <c r="WKS22" s="65"/>
      <c r="WKT22" s="65"/>
      <c r="WKU22" s="65"/>
      <c r="WKV22" s="65"/>
      <c r="WKW22" s="65"/>
      <c r="WKX22" s="65"/>
      <c r="WKY22" s="65"/>
      <c r="WKZ22" s="65"/>
      <c r="WLA22" s="65"/>
      <c r="WLB22" s="65"/>
      <c r="WLC22" s="65"/>
      <c r="WLD22" s="65"/>
      <c r="WLE22" s="65"/>
      <c r="WLF22" s="65"/>
      <c r="WLG22" s="65"/>
      <c r="WLH22" s="65"/>
      <c r="WLI22" s="65"/>
      <c r="WLJ22" s="65"/>
      <c r="WLK22" s="65"/>
      <c r="WLL22" s="65"/>
      <c r="WLM22" s="65"/>
      <c r="WLN22" s="65"/>
      <c r="WLO22" s="65"/>
      <c r="WLP22" s="65"/>
      <c r="WLQ22" s="65"/>
      <c r="WLR22" s="65"/>
      <c r="WLS22" s="65"/>
      <c r="WLT22" s="65"/>
      <c r="WLU22" s="65"/>
      <c r="WLV22" s="65"/>
      <c r="WLW22" s="65"/>
      <c r="WLX22" s="65"/>
      <c r="WLY22" s="65"/>
      <c r="WLZ22" s="65"/>
      <c r="WMA22" s="65"/>
      <c r="WMB22" s="65"/>
      <c r="WMC22" s="65"/>
      <c r="WMD22" s="65"/>
      <c r="WME22" s="65"/>
      <c r="WMF22" s="65"/>
      <c r="WMG22" s="65"/>
      <c r="WMH22" s="65"/>
      <c r="WMI22" s="65"/>
      <c r="WMJ22" s="65"/>
      <c r="WMK22" s="65"/>
      <c r="WML22" s="65"/>
      <c r="WMM22" s="65"/>
      <c r="WMN22" s="65"/>
      <c r="WMO22" s="65"/>
      <c r="WMP22" s="65"/>
      <c r="WMQ22" s="65"/>
      <c r="WMR22" s="65"/>
      <c r="WMS22" s="65"/>
      <c r="WMT22" s="65"/>
      <c r="WMU22" s="65"/>
      <c r="WMV22" s="65"/>
      <c r="WMW22" s="65"/>
      <c r="WMX22" s="65"/>
      <c r="WMY22" s="65"/>
      <c r="WMZ22" s="65"/>
      <c r="WNA22" s="65"/>
      <c r="WNB22" s="65"/>
      <c r="WNC22" s="65"/>
      <c r="WND22" s="65"/>
      <c r="WNE22" s="65"/>
      <c r="WNF22" s="65"/>
      <c r="WNG22" s="65"/>
      <c r="WNH22" s="65"/>
      <c r="WNI22" s="65"/>
      <c r="WNJ22" s="65"/>
      <c r="WNK22" s="65"/>
      <c r="WNL22" s="65"/>
      <c r="WNM22" s="65"/>
      <c r="WNN22" s="65"/>
      <c r="WNO22" s="65"/>
      <c r="WNP22" s="65"/>
      <c r="WNQ22" s="65"/>
      <c r="WNR22" s="65"/>
      <c r="WNS22" s="65"/>
      <c r="WNT22" s="65"/>
      <c r="WNU22" s="65"/>
      <c r="WNV22" s="65"/>
      <c r="WNW22" s="65"/>
      <c r="WNX22" s="65"/>
      <c r="WNY22" s="65"/>
      <c r="WNZ22" s="65"/>
      <c r="WOA22" s="65"/>
      <c r="WOB22" s="65"/>
      <c r="WOC22" s="65"/>
      <c r="WOD22" s="65"/>
      <c r="WOE22" s="65"/>
      <c r="WOF22" s="65"/>
      <c r="WOG22" s="65"/>
      <c r="WOH22" s="65"/>
      <c r="WOI22" s="65"/>
      <c r="WOJ22" s="65"/>
      <c r="WOK22" s="65"/>
      <c r="WOL22" s="65"/>
      <c r="WOM22" s="65"/>
      <c r="WON22" s="65"/>
      <c r="WOO22" s="65"/>
      <c r="WOP22" s="65"/>
      <c r="WOQ22" s="65"/>
      <c r="WOR22" s="65"/>
      <c r="WOS22" s="65"/>
      <c r="WOT22" s="65"/>
      <c r="WOU22" s="65"/>
      <c r="WOV22" s="65"/>
      <c r="WOW22" s="65"/>
      <c r="WOX22" s="65"/>
      <c r="WOY22" s="65"/>
      <c r="WOZ22" s="65"/>
      <c r="WPA22" s="65"/>
      <c r="WPB22" s="65"/>
      <c r="WPC22" s="65"/>
      <c r="WPD22" s="65"/>
      <c r="WPE22" s="65"/>
      <c r="WPF22" s="65"/>
      <c r="WPG22" s="65"/>
      <c r="WPH22" s="65"/>
      <c r="WPI22" s="65"/>
      <c r="WPJ22" s="65"/>
      <c r="WPK22" s="65"/>
      <c r="WPL22" s="65"/>
      <c r="WPM22" s="65"/>
      <c r="WPN22" s="65"/>
      <c r="WPO22" s="65"/>
      <c r="WPP22" s="65"/>
      <c r="WPQ22" s="65"/>
      <c r="WPR22" s="65"/>
      <c r="WPS22" s="65"/>
      <c r="WPT22" s="65"/>
      <c r="WPU22" s="65"/>
      <c r="WPV22" s="65"/>
      <c r="WPW22" s="65"/>
      <c r="WPX22" s="65"/>
      <c r="WPY22" s="65"/>
      <c r="WPZ22" s="65"/>
      <c r="WQA22" s="65"/>
      <c r="WQB22" s="65"/>
      <c r="WQC22" s="65"/>
      <c r="WQD22" s="65"/>
      <c r="WQE22" s="65"/>
      <c r="WQF22" s="65"/>
      <c r="WQG22" s="65"/>
      <c r="WQH22" s="65"/>
      <c r="WQI22" s="65"/>
      <c r="WQJ22" s="65"/>
      <c r="WQK22" s="65"/>
      <c r="WQL22" s="65"/>
      <c r="WQM22" s="65"/>
      <c r="WQN22" s="65"/>
      <c r="WQO22" s="65"/>
      <c r="WQP22" s="65"/>
      <c r="WQQ22" s="65"/>
      <c r="WQR22" s="65"/>
      <c r="WQS22" s="65"/>
      <c r="WQT22" s="65"/>
      <c r="WQU22" s="65"/>
      <c r="WQV22" s="65"/>
      <c r="WQW22" s="65"/>
      <c r="WQX22" s="65"/>
      <c r="WQY22" s="65"/>
      <c r="WQZ22" s="65"/>
      <c r="WRA22" s="65"/>
      <c r="WRB22" s="65"/>
      <c r="WRC22" s="65"/>
      <c r="WRD22" s="65"/>
      <c r="WRE22" s="65"/>
      <c r="WRF22" s="65"/>
      <c r="WRG22" s="65"/>
      <c r="WRH22" s="65"/>
      <c r="WRI22" s="65"/>
      <c r="WRJ22" s="65"/>
      <c r="WRK22" s="65"/>
      <c r="WRL22" s="65"/>
      <c r="WRM22" s="65"/>
      <c r="WRN22" s="65"/>
      <c r="WRO22" s="65"/>
      <c r="WRP22" s="65"/>
      <c r="WRQ22" s="65"/>
      <c r="WRR22" s="65"/>
      <c r="WRS22" s="65"/>
      <c r="WRT22" s="65"/>
      <c r="WRU22" s="65"/>
      <c r="WRV22" s="65"/>
      <c r="WRW22" s="65"/>
      <c r="WRX22" s="65"/>
      <c r="WRY22" s="65"/>
      <c r="WRZ22" s="65"/>
      <c r="WSA22" s="65"/>
      <c r="WSB22" s="65"/>
      <c r="WSC22" s="65"/>
      <c r="WSD22" s="65"/>
      <c r="WSE22" s="65"/>
      <c r="WSF22" s="65"/>
      <c r="WSG22" s="65"/>
      <c r="WSH22" s="65"/>
      <c r="WSI22" s="65"/>
      <c r="WSJ22" s="65"/>
      <c r="WSK22" s="65"/>
      <c r="WSL22" s="65"/>
      <c r="WSM22" s="65"/>
      <c r="WSN22" s="65"/>
      <c r="WSO22" s="65"/>
      <c r="WSP22" s="65"/>
      <c r="WSQ22" s="65"/>
      <c r="WSR22" s="65"/>
      <c r="WSS22" s="65"/>
      <c r="WST22" s="65"/>
      <c r="WSU22" s="65"/>
      <c r="WSV22" s="65"/>
      <c r="WSW22" s="65"/>
      <c r="WSX22" s="65"/>
      <c r="WSY22" s="65"/>
      <c r="WSZ22" s="65"/>
      <c r="WTA22" s="65"/>
      <c r="WTB22" s="65"/>
      <c r="WTC22" s="65"/>
      <c r="WTD22" s="65"/>
      <c r="WTE22" s="65"/>
      <c r="WTF22" s="65"/>
      <c r="WTG22" s="65"/>
      <c r="WTH22" s="65"/>
      <c r="WTI22" s="65"/>
      <c r="WTJ22" s="65"/>
      <c r="WTK22" s="65"/>
      <c r="WTL22" s="65"/>
      <c r="WTM22" s="65"/>
      <c r="WTN22" s="65"/>
      <c r="WTO22" s="65"/>
      <c r="WTP22" s="65"/>
      <c r="WTQ22" s="65"/>
      <c r="WTR22" s="65"/>
      <c r="WTS22" s="65"/>
      <c r="WTT22" s="65"/>
      <c r="WTU22" s="65"/>
      <c r="WTV22" s="65"/>
      <c r="WTW22" s="65"/>
      <c r="WTX22" s="65"/>
      <c r="WTY22" s="65"/>
      <c r="WTZ22" s="65"/>
      <c r="WUA22" s="65"/>
      <c r="WUB22" s="65"/>
      <c r="WUC22" s="65"/>
      <c r="WUD22" s="65"/>
      <c r="WUE22" s="65"/>
      <c r="WUF22" s="65"/>
      <c r="WUG22" s="65"/>
      <c r="WUH22" s="65"/>
      <c r="WUI22" s="65"/>
      <c r="WUJ22" s="65"/>
      <c r="WUK22" s="65"/>
      <c r="WUL22" s="65"/>
      <c r="WUM22" s="65"/>
      <c r="WUN22" s="65"/>
      <c r="WUO22" s="65"/>
      <c r="WUP22" s="65"/>
      <c r="WUQ22" s="65"/>
      <c r="WUR22" s="65"/>
      <c r="WUS22" s="65"/>
      <c r="WUT22" s="65"/>
      <c r="WUU22" s="65"/>
      <c r="WUV22" s="65"/>
      <c r="WUW22" s="65"/>
      <c r="WUX22" s="65"/>
      <c r="WUY22" s="65"/>
      <c r="WUZ22" s="65"/>
      <c r="WVA22" s="65"/>
      <c r="WVB22" s="65"/>
      <c r="WVC22" s="65"/>
      <c r="WVD22" s="65"/>
      <c r="WVE22" s="65"/>
      <c r="WVF22" s="65"/>
      <c r="WVG22" s="65"/>
      <c r="WVH22" s="65"/>
      <c r="WVI22" s="65"/>
      <c r="WVJ22" s="65"/>
      <c r="WVK22" s="65"/>
      <c r="WVL22" s="65"/>
      <c r="WVM22" s="65"/>
      <c r="WVN22" s="65"/>
      <c r="WVO22" s="65"/>
      <c r="WVP22" s="65"/>
      <c r="WVQ22" s="65"/>
      <c r="WVR22" s="65"/>
      <c r="WVS22" s="65"/>
      <c r="WVT22" s="65"/>
      <c r="WVU22" s="65"/>
      <c r="WVV22" s="65"/>
      <c r="WVW22" s="65"/>
      <c r="WVX22" s="65"/>
      <c r="WVY22" s="65"/>
      <c r="WVZ22" s="65"/>
      <c r="WWA22" s="65"/>
      <c r="WWB22" s="65"/>
      <c r="WWC22" s="65"/>
      <c r="WWD22" s="65"/>
      <c r="WWE22" s="65"/>
      <c r="WWF22" s="65"/>
      <c r="WWG22" s="65"/>
      <c r="WWH22" s="65"/>
      <c r="WWI22" s="65"/>
      <c r="WWJ22" s="65"/>
      <c r="WWK22" s="65"/>
      <c r="WWL22" s="65"/>
      <c r="WWM22" s="65"/>
      <c r="WWN22" s="65"/>
      <c r="WWO22" s="65"/>
      <c r="WWP22" s="65"/>
      <c r="WWQ22" s="65"/>
      <c r="WWR22" s="65"/>
      <c r="WWS22" s="65"/>
      <c r="WWT22" s="65"/>
      <c r="WWU22" s="65"/>
      <c r="WWV22" s="65"/>
      <c r="WWW22" s="65"/>
      <c r="WWX22" s="65"/>
      <c r="WWY22" s="65"/>
      <c r="WWZ22" s="65"/>
      <c r="WXA22" s="65"/>
      <c r="WXB22" s="65"/>
      <c r="WXC22" s="65"/>
      <c r="WXD22" s="65"/>
      <c r="WXE22" s="65"/>
      <c r="WXF22" s="65"/>
      <c r="WXG22" s="65"/>
      <c r="WXH22" s="65"/>
      <c r="WXI22" s="65"/>
      <c r="WXJ22" s="65"/>
      <c r="WXK22" s="65"/>
      <c r="WXL22" s="65"/>
      <c r="WXM22" s="65"/>
      <c r="WXN22" s="65"/>
      <c r="WXO22" s="65"/>
      <c r="WXP22" s="65"/>
      <c r="WXQ22" s="65"/>
      <c r="WXR22" s="65"/>
      <c r="WXS22" s="65"/>
      <c r="WXT22" s="65"/>
      <c r="WXU22" s="65"/>
      <c r="WXV22" s="65"/>
      <c r="WXW22" s="65"/>
      <c r="WXX22" s="65"/>
      <c r="WXY22" s="65"/>
      <c r="WXZ22" s="65"/>
      <c r="WYA22" s="65"/>
      <c r="WYB22" s="65"/>
      <c r="WYC22" s="65"/>
      <c r="WYD22" s="65"/>
      <c r="WYE22" s="65"/>
      <c r="WYF22" s="65"/>
      <c r="WYG22" s="65"/>
      <c r="WYH22" s="65"/>
      <c r="WYI22" s="65"/>
      <c r="WYJ22" s="65"/>
      <c r="WYK22" s="65"/>
      <c r="WYL22" s="65"/>
      <c r="WYM22" s="65"/>
      <c r="WYN22" s="65"/>
      <c r="WYO22" s="65"/>
      <c r="WYP22" s="65"/>
      <c r="WYQ22" s="65"/>
      <c r="WYR22" s="65"/>
      <c r="WYS22" s="65"/>
      <c r="WYT22" s="65"/>
      <c r="WYU22" s="65"/>
      <c r="WYV22" s="65"/>
      <c r="WYW22" s="65"/>
      <c r="WYX22" s="65"/>
      <c r="WYY22" s="65"/>
      <c r="WYZ22" s="65"/>
      <c r="WZA22" s="65"/>
      <c r="WZB22" s="65"/>
      <c r="WZC22" s="65"/>
      <c r="WZD22" s="65"/>
      <c r="WZE22" s="65"/>
      <c r="WZF22" s="65"/>
      <c r="WZG22" s="65"/>
      <c r="WZH22" s="65"/>
      <c r="WZI22" s="65"/>
      <c r="WZJ22" s="65"/>
      <c r="WZK22" s="65"/>
      <c r="WZL22" s="65"/>
      <c r="WZM22" s="65"/>
      <c r="WZN22" s="65"/>
      <c r="WZO22" s="65"/>
      <c r="WZP22" s="65"/>
      <c r="WZQ22" s="65"/>
      <c r="WZR22" s="65"/>
      <c r="WZS22" s="65"/>
      <c r="WZT22" s="65"/>
      <c r="WZU22" s="65"/>
      <c r="WZV22" s="65"/>
      <c r="WZW22" s="65"/>
      <c r="WZX22" s="65"/>
      <c r="WZY22" s="65"/>
      <c r="WZZ22" s="65"/>
      <c r="XAA22" s="65"/>
      <c r="XAB22" s="65"/>
      <c r="XAC22" s="65"/>
      <c r="XAD22" s="65"/>
      <c r="XAE22" s="65"/>
      <c r="XAF22" s="65"/>
      <c r="XAG22" s="65"/>
      <c r="XAH22" s="65"/>
      <c r="XAI22" s="65"/>
      <c r="XAJ22" s="65"/>
      <c r="XAK22" s="65"/>
      <c r="XAL22" s="65"/>
      <c r="XAM22" s="65"/>
      <c r="XAN22" s="65"/>
      <c r="XAO22" s="65"/>
      <c r="XAP22" s="65"/>
      <c r="XAQ22" s="65"/>
      <c r="XAR22" s="65"/>
      <c r="XAS22" s="65"/>
      <c r="XAT22" s="65"/>
      <c r="XAU22" s="65"/>
      <c r="XAV22" s="65"/>
      <c r="XAW22" s="65"/>
      <c r="XAX22" s="65"/>
      <c r="XAY22" s="65"/>
      <c r="XAZ22" s="65"/>
      <c r="XBA22" s="65"/>
      <c r="XBB22" s="65"/>
      <c r="XBC22" s="65"/>
      <c r="XBD22" s="65"/>
      <c r="XBE22" s="65"/>
      <c r="XBF22" s="65"/>
      <c r="XBG22" s="65"/>
      <c r="XBH22" s="65"/>
      <c r="XBI22" s="65"/>
      <c r="XBJ22" s="65"/>
      <c r="XBK22" s="65"/>
      <c r="XBL22" s="65"/>
      <c r="XBM22" s="65"/>
      <c r="XBN22" s="65"/>
      <c r="XBO22" s="65"/>
      <c r="XBP22" s="65"/>
      <c r="XBQ22" s="65"/>
      <c r="XBR22" s="65"/>
      <c r="XBS22" s="65"/>
      <c r="XBT22" s="65"/>
      <c r="XBU22" s="65"/>
      <c r="XBV22" s="65"/>
      <c r="XBW22" s="65"/>
      <c r="XBX22" s="65"/>
      <c r="XBY22" s="65"/>
      <c r="XBZ22" s="65"/>
      <c r="XCA22" s="65"/>
      <c r="XCB22" s="65"/>
      <c r="XCC22" s="65"/>
      <c r="XCD22" s="65"/>
      <c r="XCE22" s="65"/>
      <c r="XCF22" s="65"/>
      <c r="XCG22" s="65"/>
      <c r="XCH22" s="65"/>
      <c r="XCI22" s="65"/>
      <c r="XCJ22" s="65"/>
      <c r="XCK22" s="65"/>
      <c r="XCL22" s="65"/>
      <c r="XCM22" s="65"/>
      <c r="XCN22" s="65"/>
      <c r="XCO22" s="65"/>
      <c r="XCP22" s="65"/>
      <c r="XCQ22" s="65"/>
      <c r="XCR22" s="65"/>
      <c r="XCS22" s="65"/>
      <c r="XCT22" s="65"/>
      <c r="XCU22" s="65"/>
      <c r="XCV22" s="65"/>
      <c r="XCW22" s="65"/>
      <c r="XCX22" s="65"/>
      <c r="XCY22" s="65"/>
      <c r="XCZ22" s="65"/>
      <c r="XDA22" s="65"/>
      <c r="XDB22" s="65"/>
      <c r="XDC22" s="65"/>
      <c r="XDD22" s="65"/>
      <c r="XDE22" s="65"/>
      <c r="XDF22" s="65"/>
      <c r="XDG22" s="65"/>
      <c r="XDH22" s="65"/>
      <c r="XDI22" s="65"/>
      <c r="XDJ22" s="65"/>
      <c r="XDK22" s="65"/>
      <c r="XDL22" s="65"/>
      <c r="XDM22" s="65"/>
      <c r="XDN22" s="65"/>
      <c r="XDO22" s="65"/>
      <c r="XDP22" s="65"/>
      <c r="XDQ22" s="65"/>
      <c r="XDR22" s="65"/>
      <c r="XDS22" s="65"/>
      <c r="XDT22" s="65"/>
      <c r="XDU22" s="65"/>
      <c r="XDV22" s="65"/>
      <c r="XDW22" s="65"/>
      <c r="XDX22" s="65"/>
      <c r="XDY22" s="65"/>
      <c r="XDZ22" s="65"/>
      <c r="XEA22" s="65"/>
      <c r="XEB22" s="65"/>
      <c r="XEC22" s="65"/>
      <c r="XED22" s="65"/>
      <c r="XEE22" s="65"/>
      <c r="XEF22" s="65"/>
      <c r="XEG22" s="65"/>
      <c r="XEH22" s="65"/>
      <c r="XEI22" s="65"/>
      <c r="XEJ22" s="65"/>
      <c r="XEK22" s="65"/>
      <c r="XEL22" s="65"/>
      <c r="XEM22" s="65"/>
      <c r="XEN22" s="65"/>
      <c r="XEO22" s="65"/>
      <c r="XEP22" s="65"/>
      <c r="XEQ22" s="65"/>
      <c r="XER22" s="65"/>
      <c r="XES22" s="65"/>
      <c r="XET22" s="65"/>
      <c r="XEU22" s="65"/>
      <c r="XEV22" s="65"/>
      <c r="XEW22" s="65"/>
      <c r="XEX22" s="65"/>
      <c r="XEY22" s="65"/>
      <c r="XEZ22" s="65"/>
      <c r="XFA22" s="65"/>
      <c r="XFB22" s="65"/>
      <c r="XFC22" s="65"/>
      <c r="XFD22" s="65"/>
    </row>
    <row r="23" spans="1:16384" s="1" customFormat="1" ht="88.5" customHeight="1">
      <c r="A23" s="81" t="s">
        <v>374</v>
      </c>
      <c r="B23" s="81"/>
      <c r="C23" s="81"/>
      <c r="D23" s="81"/>
      <c r="E23" s="81"/>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c r="HF23" s="65"/>
      <c r="HG23" s="65"/>
      <c r="HH23" s="65"/>
      <c r="HI23" s="65"/>
      <c r="HJ23" s="65"/>
      <c r="HK23" s="65"/>
      <c r="HL23" s="65"/>
      <c r="HM23" s="65"/>
      <c r="HN23" s="65"/>
      <c r="HO23" s="65"/>
      <c r="HP23" s="65"/>
      <c r="HQ23" s="65"/>
      <c r="HR23" s="65"/>
      <c r="HS23" s="65"/>
      <c r="HT23" s="65"/>
      <c r="HU23" s="65"/>
      <c r="HV23" s="65"/>
      <c r="HW23" s="65"/>
      <c r="HX23" s="65"/>
      <c r="HY23" s="65"/>
      <c r="HZ23" s="65"/>
      <c r="IA23" s="65"/>
      <c r="IB23" s="65"/>
      <c r="IC23" s="65"/>
      <c r="ID23" s="65"/>
      <c r="IE23" s="65"/>
      <c r="IF23" s="65"/>
      <c r="IG23" s="65"/>
      <c r="IH23" s="65"/>
      <c r="II23" s="65"/>
      <c r="IJ23" s="65"/>
      <c r="IK23" s="65"/>
      <c r="IL23" s="65"/>
      <c r="IM23" s="65"/>
      <c r="IN23" s="65"/>
      <c r="IO23" s="65"/>
      <c r="IP23" s="65"/>
      <c r="IQ23" s="65"/>
      <c r="IR23" s="65"/>
      <c r="IS23" s="65"/>
      <c r="IT23" s="65"/>
      <c r="IU23" s="65"/>
      <c r="IV23" s="65"/>
      <c r="IW23" s="65"/>
      <c r="IX23" s="65"/>
      <c r="IY23" s="65"/>
      <c r="IZ23" s="65"/>
      <c r="JA23" s="65"/>
      <c r="JB23" s="65"/>
      <c r="JC23" s="65"/>
      <c r="JD23" s="65"/>
      <c r="JE23" s="65"/>
      <c r="JF23" s="65"/>
      <c r="JG23" s="65"/>
      <c r="JH23" s="65"/>
      <c r="JI23" s="65"/>
      <c r="JJ23" s="65"/>
      <c r="JK23" s="65"/>
      <c r="JL23" s="65"/>
      <c r="JM23" s="65"/>
      <c r="JN23" s="65"/>
      <c r="JO23" s="65"/>
      <c r="JP23" s="65"/>
      <c r="JQ23" s="65"/>
      <c r="JR23" s="65"/>
      <c r="JS23" s="65"/>
      <c r="JT23" s="65"/>
      <c r="JU23" s="65"/>
      <c r="JV23" s="65"/>
      <c r="JW23" s="65"/>
      <c r="JX23" s="65"/>
      <c r="JY23" s="65"/>
      <c r="JZ23" s="65"/>
      <c r="KA23" s="65"/>
      <c r="KB23" s="65"/>
      <c r="KC23" s="65"/>
      <c r="KD23" s="65"/>
      <c r="KE23" s="65"/>
      <c r="KF23" s="65"/>
      <c r="KG23" s="65"/>
      <c r="KH23" s="65"/>
      <c r="KI23" s="65"/>
      <c r="KJ23" s="65"/>
      <c r="KK23" s="65"/>
      <c r="KL23" s="65"/>
      <c r="KM23" s="65"/>
      <c r="KN23" s="65"/>
      <c r="KO23" s="65"/>
      <c r="KP23" s="65"/>
      <c r="KQ23" s="65"/>
      <c r="KR23" s="65"/>
      <c r="KS23" s="65"/>
      <c r="KT23" s="65"/>
      <c r="KU23" s="65"/>
      <c r="KV23" s="65"/>
      <c r="KW23" s="65"/>
      <c r="KX23" s="65"/>
      <c r="KY23" s="65"/>
      <c r="KZ23" s="65"/>
      <c r="LA23" s="65"/>
      <c r="LB23" s="65"/>
      <c r="LC23" s="65"/>
      <c r="LD23" s="65"/>
      <c r="LE23" s="65"/>
      <c r="LF23" s="65"/>
      <c r="LG23" s="65"/>
      <c r="LH23" s="65"/>
      <c r="LI23" s="65"/>
      <c r="LJ23" s="65"/>
      <c r="LK23" s="65"/>
      <c r="LL23" s="65"/>
      <c r="LM23" s="65"/>
      <c r="LN23" s="65"/>
      <c r="LO23" s="65"/>
      <c r="LP23" s="65"/>
      <c r="LQ23" s="65"/>
      <c r="LR23" s="65"/>
      <c r="LS23" s="65"/>
      <c r="LT23" s="65"/>
      <c r="LU23" s="65"/>
      <c r="LV23" s="65"/>
      <c r="LW23" s="65"/>
      <c r="LX23" s="65"/>
      <c r="LY23" s="65"/>
      <c r="LZ23" s="65"/>
      <c r="MA23" s="65"/>
      <c r="MB23" s="65"/>
      <c r="MC23" s="65"/>
      <c r="MD23" s="65"/>
      <c r="ME23" s="65"/>
      <c r="MF23" s="65"/>
      <c r="MG23" s="65"/>
      <c r="MH23" s="65"/>
      <c r="MI23" s="65"/>
      <c r="MJ23" s="65"/>
      <c r="MK23" s="65"/>
      <c r="ML23" s="65"/>
      <c r="MM23" s="65"/>
      <c r="MN23" s="65"/>
      <c r="MO23" s="65"/>
      <c r="MP23" s="65"/>
      <c r="MQ23" s="65"/>
      <c r="MR23" s="65"/>
      <c r="MS23" s="65"/>
      <c r="MT23" s="65"/>
      <c r="MU23" s="65"/>
      <c r="MV23" s="65"/>
      <c r="MW23" s="65"/>
      <c r="MX23" s="65"/>
      <c r="MY23" s="65"/>
      <c r="MZ23" s="65"/>
      <c r="NA23" s="65"/>
      <c r="NB23" s="65"/>
      <c r="NC23" s="65"/>
      <c r="ND23" s="65"/>
      <c r="NE23" s="65"/>
      <c r="NF23" s="65"/>
      <c r="NG23" s="65"/>
      <c r="NH23" s="65"/>
      <c r="NI23" s="65"/>
      <c r="NJ23" s="65"/>
      <c r="NK23" s="65"/>
      <c r="NL23" s="65"/>
      <c r="NM23" s="65"/>
      <c r="NN23" s="65"/>
      <c r="NO23" s="65"/>
      <c r="NP23" s="65"/>
      <c r="NQ23" s="65"/>
      <c r="NR23" s="65"/>
      <c r="NS23" s="65"/>
      <c r="NT23" s="65"/>
      <c r="NU23" s="65"/>
      <c r="NV23" s="65"/>
      <c r="NW23" s="65"/>
      <c r="NX23" s="65"/>
      <c r="NY23" s="65"/>
      <c r="NZ23" s="65"/>
      <c r="OA23" s="65"/>
      <c r="OB23" s="65"/>
      <c r="OC23" s="65"/>
      <c r="OD23" s="65"/>
      <c r="OE23" s="65"/>
      <c r="OF23" s="65"/>
      <c r="OG23" s="65"/>
      <c r="OH23" s="65"/>
      <c r="OI23" s="65"/>
      <c r="OJ23" s="65"/>
      <c r="OK23" s="65"/>
      <c r="OL23" s="65"/>
      <c r="OM23" s="65"/>
      <c r="ON23" s="65"/>
      <c r="OO23" s="65"/>
      <c r="OP23" s="65"/>
      <c r="OQ23" s="65"/>
      <c r="OR23" s="65"/>
      <c r="OS23" s="65"/>
      <c r="OT23" s="65"/>
      <c r="OU23" s="65"/>
      <c r="OV23" s="65"/>
      <c r="OW23" s="65"/>
      <c r="OX23" s="65"/>
      <c r="OY23" s="65"/>
      <c r="OZ23" s="65"/>
      <c r="PA23" s="65"/>
      <c r="PB23" s="65"/>
      <c r="PC23" s="65"/>
      <c r="PD23" s="65"/>
      <c r="PE23" s="65"/>
      <c r="PF23" s="65"/>
      <c r="PG23" s="65"/>
      <c r="PH23" s="65"/>
      <c r="PI23" s="65"/>
      <c r="PJ23" s="65"/>
      <c r="PK23" s="65"/>
      <c r="PL23" s="65"/>
      <c r="PM23" s="65"/>
      <c r="PN23" s="65"/>
      <c r="PO23" s="65"/>
      <c r="PP23" s="65"/>
      <c r="PQ23" s="65"/>
      <c r="PR23" s="65"/>
      <c r="PS23" s="65"/>
      <c r="PT23" s="65"/>
      <c r="PU23" s="65"/>
      <c r="PV23" s="65"/>
      <c r="PW23" s="65"/>
      <c r="PX23" s="65"/>
      <c r="PY23" s="65"/>
      <c r="PZ23" s="65"/>
      <c r="QA23" s="65"/>
      <c r="QB23" s="65"/>
      <c r="QC23" s="65"/>
      <c r="QD23" s="65"/>
      <c r="QE23" s="65"/>
      <c r="QF23" s="65"/>
      <c r="QG23" s="65"/>
      <c r="QH23" s="65"/>
      <c r="QI23" s="65"/>
      <c r="QJ23" s="65"/>
      <c r="QK23" s="65"/>
      <c r="QL23" s="65"/>
      <c r="QM23" s="65"/>
      <c r="QN23" s="65"/>
      <c r="QO23" s="65"/>
      <c r="QP23" s="65"/>
      <c r="QQ23" s="65"/>
      <c r="QR23" s="65"/>
      <c r="QS23" s="65"/>
      <c r="QT23" s="65"/>
      <c r="QU23" s="65"/>
      <c r="QV23" s="65"/>
      <c r="QW23" s="65"/>
      <c r="QX23" s="65"/>
      <c r="QY23" s="65"/>
      <c r="QZ23" s="65"/>
      <c r="RA23" s="65"/>
      <c r="RB23" s="65"/>
      <c r="RC23" s="65"/>
      <c r="RD23" s="65"/>
      <c r="RE23" s="65"/>
      <c r="RF23" s="65"/>
      <c r="RG23" s="65"/>
      <c r="RH23" s="65"/>
      <c r="RI23" s="65"/>
      <c r="RJ23" s="65"/>
      <c r="RK23" s="65"/>
      <c r="RL23" s="65"/>
      <c r="RM23" s="65"/>
      <c r="RN23" s="65"/>
      <c r="RO23" s="65"/>
      <c r="RP23" s="65"/>
      <c r="RQ23" s="65"/>
      <c r="RR23" s="65"/>
      <c r="RS23" s="65"/>
      <c r="RT23" s="65"/>
      <c r="RU23" s="65"/>
      <c r="RV23" s="65"/>
      <c r="RW23" s="65"/>
      <c r="RX23" s="65"/>
      <c r="RY23" s="65"/>
      <c r="RZ23" s="65"/>
      <c r="SA23" s="65"/>
      <c r="SB23" s="65"/>
      <c r="SC23" s="65"/>
      <c r="SD23" s="65"/>
      <c r="SE23" s="65"/>
      <c r="SF23" s="65"/>
      <c r="SG23" s="65"/>
      <c r="SH23" s="65"/>
      <c r="SI23" s="65"/>
      <c r="SJ23" s="65"/>
      <c r="SK23" s="65"/>
      <c r="SL23" s="65"/>
      <c r="SM23" s="65"/>
      <c r="SN23" s="65"/>
      <c r="SO23" s="65"/>
      <c r="SP23" s="65"/>
      <c r="SQ23" s="65"/>
      <c r="SR23" s="65"/>
      <c r="SS23" s="65"/>
      <c r="ST23" s="65"/>
      <c r="SU23" s="65"/>
      <c r="SV23" s="65"/>
      <c r="SW23" s="65"/>
      <c r="SX23" s="65"/>
      <c r="SY23" s="65"/>
      <c r="SZ23" s="65"/>
      <c r="TA23" s="65"/>
      <c r="TB23" s="65"/>
      <c r="TC23" s="65"/>
      <c r="TD23" s="65"/>
      <c r="TE23" s="65"/>
      <c r="TF23" s="65"/>
      <c r="TG23" s="65"/>
      <c r="TH23" s="65"/>
      <c r="TI23" s="65"/>
      <c r="TJ23" s="65"/>
      <c r="TK23" s="65"/>
      <c r="TL23" s="65"/>
      <c r="TM23" s="65"/>
      <c r="TN23" s="65"/>
      <c r="TO23" s="65"/>
      <c r="TP23" s="65"/>
      <c r="TQ23" s="65"/>
      <c r="TR23" s="65"/>
      <c r="TS23" s="65"/>
      <c r="TT23" s="65"/>
      <c r="TU23" s="65"/>
      <c r="TV23" s="65"/>
      <c r="TW23" s="65"/>
      <c r="TX23" s="65"/>
      <c r="TY23" s="65"/>
      <c r="TZ23" s="65"/>
      <c r="UA23" s="65"/>
      <c r="UB23" s="65"/>
      <c r="UC23" s="65"/>
      <c r="UD23" s="65"/>
      <c r="UE23" s="65"/>
      <c r="UF23" s="65"/>
      <c r="UG23" s="65"/>
      <c r="UH23" s="65"/>
      <c r="UI23" s="65"/>
      <c r="UJ23" s="65"/>
      <c r="UK23" s="65"/>
      <c r="UL23" s="65"/>
      <c r="UM23" s="65"/>
      <c r="UN23" s="65"/>
      <c r="UO23" s="65"/>
      <c r="UP23" s="65"/>
      <c r="UQ23" s="65"/>
      <c r="UR23" s="65"/>
      <c r="US23" s="65"/>
      <c r="UT23" s="65"/>
      <c r="UU23" s="65"/>
      <c r="UV23" s="65"/>
      <c r="UW23" s="65"/>
      <c r="UX23" s="65"/>
      <c r="UY23" s="65"/>
      <c r="UZ23" s="65"/>
      <c r="VA23" s="65"/>
      <c r="VB23" s="65"/>
      <c r="VC23" s="65"/>
      <c r="VD23" s="65"/>
      <c r="VE23" s="65"/>
      <c r="VF23" s="65"/>
      <c r="VG23" s="65"/>
      <c r="VH23" s="65"/>
      <c r="VI23" s="65"/>
      <c r="VJ23" s="65"/>
      <c r="VK23" s="65"/>
      <c r="VL23" s="65"/>
      <c r="VM23" s="65"/>
      <c r="VN23" s="65"/>
      <c r="VO23" s="65"/>
      <c r="VP23" s="65"/>
      <c r="VQ23" s="65"/>
      <c r="VR23" s="65"/>
      <c r="VS23" s="65"/>
      <c r="VT23" s="65"/>
      <c r="VU23" s="65"/>
      <c r="VV23" s="65"/>
      <c r="VW23" s="65"/>
      <c r="VX23" s="65"/>
      <c r="VY23" s="65"/>
      <c r="VZ23" s="65"/>
      <c r="WA23" s="65"/>
      <c r="WB23" s="65"/>
      <c r="WC23" s="65"/>
      <c r="WD23" s="65"/>
      <c r="WE23" s="65"/>
      <c r="WF23" s="65"/>
      <c r="WG23" s="65"/>
      <c r="WH23" s="65"/>
      <c r="WI23" s="65"/>
      <c r="WJ23" s="65"/>
      <c r="WK23" s="65"/>
      <c r="WL23" s="65"/>
      <c r="WM23" s="65"/>
      <c r="WN23" s="65"/>
      <c r="WO23" s="65"/>
      <c r="WP23" s="65"/>
      <c r="WQ23" s="65"/>
      <c r="WR23" s="65"/>
      <c r="WS23" s="65"/>
      <c r="WT23" s="65"/>
      <c r="WU23" s="65"/>
      <c r="WV23" s="65"/>
      <c r="WW23" s="65"/>
      <c r="WX23" s="65"/>
      <c r="WY23" s="65"/>
      <c r="WZ23" s="65"/>
      <c r="XA23" s="65"/>
      <c r="XB23" s="65"/>
      <c r="XC23" s="65"/>
      <c r="XD23" s="65"/>
      <c r="XE23" s="65"/>
      <c r="XF23" s="65"/>
      <c r="XG23" s="65"/>
      <c r="XH23" s="65"/>
      <c r="XI23" s="65"/>
      <c r="XJ23" s="65"/>
      <c r="XK23" s="65"/>
      <c r="XL23" s="65"/>
      <c r="XM23" s="65"/>
      <c r="XN23" s="65"/>
      <c r="XO23" s="65"/>
      <c r="XP23" s="65"/>
      <c r="XQ23" s="65"/>
      <c r="XR23" s="65"/>
      <c r="XS23" s="65"/>
      <c r="XT23" s="65"/>
      <c r="XU23" s="65"/>
      <c r="XV23" s="65"/>
      <c r="XW23" s="65"/>
      <c r="XX23" s="65"/>
      <c r="XY23" s="65"/>
      <c r="XZ23" s="65"/>
      <c r="YA23" s="65"/>
      <c r="YB23" s="65"/>
      <c r="YC23" s="65"/>
      <c r="YD23" s="65"/>
      <c r="YE23" s="65"/>
      <c r="YF23" s="65"/>
      <c r="YG23" s="65"/>
      <c r="YH23" s="65"/>
      <c r="YI23" s="65"/>
      <c r="YJ23" s="65"/>
      <c r="YK23" s="65"/>
      <c r="YL23" s="65"/>
      <c r="YM23" s="65"/>
      <c r="YN23" s="65"/>
      <c r="YO23" s="65"/>
      <c r="YP23" s="65"/>
      <c r="YQ23" s="65"/>
      <c r="YR23" s="65"/>
      <c r="YS23" s="65"/>
      <c r="YT23" s="65"/>
      <c r="YU23" s="65"/>
      <c r="YV23" s="65"/>
      <c r="YW23" s="65"/>
      <c r="YX23" s="65"/>
      <c r="YY23" s="65"/>
      <c r="YZ23" s="65"/>
      <c r="ZA23" s="65"/>
      <c r="ZB23" s="65"/>
      <c r="ZC23" s="65"/>
      <c r="ZD23" s="65"/>
      <c r="ZE23" s="65"/>
      <c r="ZF23" s="65"/>
      <c r="ZG23" s="65"/>
      <c r="ZH23" s="65"/>
      <c r="ZI23" s="65"/>
      <c r="ZJ23" s="65"/>
      <c r="ZK23" s="65"/>
      <c r="ZL23" s="65"/>
      <c r="ZM23" s="65"/>
      <c r="ZN23" s="65"/>
      <c r="ZO23" s="65"/>
      <c r="ZP23" s="65"/>
      <c r="ZQ23" s="65"/>
      <c r="ZR23" s="65"/>
      <c r="ZS23" s="65"/>
      <c r="ZT23" s="65"/>
      <c r="ZU23" s="65"/>
      <c r="ZV23" s="65"/>
      <c r="ZW23" s="65"/>
      <c r="ZX23" s="65"/>
      <c r="ZY23" s="65"/>
      <c r="ZZ23" s="65"/>
      <c r="AAA23" s="65"/>
      <c r="AAB23" s="65"/>
      <c r="AAC23" s="65"/>
      <c r="AAD23" s="65"/>
      <c r="AAE23" s="65"/>
      <c r="AAF23" s="65"/>
      <c r="AAG23" s="65"/>
      <c r="AAH23" s="65"/>
      <c r="AAI23" s="65"/>
      <c r="AAJ23" s="65"/>
      <c r="AAK23" s="65"/>
      <c r="AAL23" s="65"/>
      <c r="AAM23" s="65"/>
      <c r="AAN23" s="65"/>
      <c r="AAO23" s="65"/>
      <c r="AAP23" s="65"/>
      <c r="AAQ23" s="65"/>
      <c r="AAR23" s="65"/>
      <c r="AAS23" s="65"/>
      <c r="AAT23" s="65"/>
      <c r="AAU23" s="65"/>
      <c r="AAV23" s="65"/>
      <c r="AAW23" s="65"/>
      <c r="AAX23" s="65"/>
      <c r="AAY23" s="65"/>
      <c r="AAZ23" s="65"/>
      <c r="ABA23" s="65"/>
      <c r="ABB23" s="65"/>
      <c r="ABC23" s="65"/>
      <c r="ABD23" s="65"/>
      <c r="ABE23" s="65"/>
      <c r="ABF23" s="65"/>
      <c r="ABG23" s="65"/>
      <c r="ABH23" s="65"/>
      <c r="ABI23" s="65"/>
      <c r="ABJ23" s="65"/>
      <c r="ABK23" s="65"/>
      <c r="ABL23" s="65"/>
      <c r="ABM23" s="65"/>
      <c r="ABN23" s="65"/>
      <c r="ABO23" s="65"/>
      <c r="ABP23" s="65"/>
      <c r="ABQ23" s="65"/>
      <c r="ABR23" s="65"/>
      <c r="ABS23" s="65"/>
      <c r="ABT23" s="65"/>
      <c r="ABU23" s="65"/>
      <c r="ABV23" s="65"/>
      <c r="ABW23" s="65"/>
      <c r="ABX23" s="65"/>
      <c r="ABY23" s="65"/>
      <c r="ABZ23" s="65"/>
      <c r="ACA23" s="65"/>
      <c r="ACB23" s="65"/>
      <c r="ACC23" s="65"/>
      <c r="ACD23" s="65"/>
      <c r="ACE23" s="65"/>
      <c r="ACF23" s="65"/>
      <c r="ACG23" s="65"/>
      <c r="ACH23" s="65"/>
      <c r="ACI23" s="65"/>
      <c r="ACJ23" s="65"/>
      <c r="ACK23" s="65"/>
      <c r="ACL23" s="65"/>
      <c r="ACM23" s="65"/>
      <c r="ACN23" s="65"/>
      <c r="ACO23" s="65"/>
      <c r="ACP23" s="65"/>
      <c r="ACQ23" s="65"/>
      <c r="ACR23" s="65"/>
      <c r="ACS23" s="65"/>
      <c r="ACT23" s="65"/>
      <c r="ACU23" s="65"/>
      <c r="ACV23" s="65"/>
      <c r="ACW23" s="65"/>
      <c r="ACX23" s="65"/>
      <c r="ACY23" s="65"/>
      <c r="ACZ23" s="65"/>
      <c r="ADA23" s="65"/>
      <c r="ADB23" s="65"/>
      <c r="ADC23" s="65"/>
      <c r="ADD23" s="65"/>
      <c r="ADE23" s="65"/>
      <c r="ADF23" s="65"/>
      <c r="ADG23" s="65"/>
      <c r="ADH23" s="65"/>
      <c r="ADI23" s="65"/>
      <c r="ADJ23" s="65"/>
      <c r="ADK23" s="65"/>
      <c r="ADL23" s="65"/>
      <c r="ADM23" s="65"/>
      <c r="ADN23" s="65"/>
      <c r="ADO23" s="65"/>
      <c r="ADP23" s="65"/>
      <c r="ADQ23" s="65"/>
      <c r="ADR23" s="65"/>
      <c r="ADS23" s="65"/>
      <c r="ADT23" s="65"/>
      <c r="ADU23" s="65"/>
      <c r="ADV23" s="65"/>
      <c r="ADW23" s="65"/>
      <c r="ADX23" s="65"/>
      <c r="ADY23" s="65"/>
      <c r="ADZ23" s="65"/>
      <c r="AEA23" s="65"/>
      <c r="AEB23" s="65"/>
      <c r="AEC23" s="65"/>
      <c r="AED23" s="65"/>
      <c r="AEE23" s="65"/>
      <c r="AEF23" s="65"/>
      <c r="AEG23" s="65"/>
      <c r="AEH23" s="65"/>
      <c r="AEI23" s="65"/>
      <c r="AEJ23" s="65"/>
      <c r="AEK23" s="65"/>
      <c r="AEL23" s="65"/>
      <c r="AEM23" s="65"/>
      <c r="AEN23" s="65"/>
      <c r="AEO23" s="65"/>
      <c r="AEP23" s="65"/>
      <c r="AEQ23" s="65"/>
      <c r="AER23" s="65"/>
      <c r="AES23" s="65"/>
      <c r="AET23" s="65"/>
      <c r="AEU23" s="65"/>
      <c r="AEV23" s="65"/>
      <c r="AEW23" s="65"/>
      <c r="AEX23" s="65"/>
      <c r="AEY23" s="65"/>
      <c r="AEZ23" s="65"/>
      <c r="AFA23" s="65"/>
      <c r="AFB23" s="65"/>
      <c r="AFC23" s="65"/>
      <c r="AFD23" s="65"/>
      <c r="AFE23" s="65"/>
      <c r="AFF23" s="65"/>
      <c r="AFG23" s="65"/>
      <c r="AFH23" s="65"/>
      <c r="AFI23" s="65"/>
      <c r="AFJ23" s="65"/>
      <c r="AFK23" s="65"/>
      <c r="AFL23" s="65"/>
      <c r="AFM23" s="65"/>
      <c r="AFN23" s="65"/>
      <c r="AFO23" s="65"/>
      <c r="AFP23" s="65"/>
      <c r="AFQ23" s="65"/>
      <c r="AFR23" s="65"/>
      <c r="AFS23" s="65"/>
      <c r="AFT23" s="65"/>
      <c r="AFU23" s="65"/>
      <c r="AFV23" s="65"/>
      <c r="AFW23" s="65"/>
      <c r="AFX23" s="65"/>
      <c r="AFY23" s="65"/>
      <c r="AFZ23" s="65"/>
      <c r="AGA23" s="65"/>
      <c r="AGB23" s="65"/>
      <c r="AGC23" s="65"/>
      <c r="AGD23" s="65"/>
      <c r="AGE23" s="65"/>
      <c r="AGF23" s="65"/>
      <c r="AGG23" s="65"/>
      <c r="AGH23" s="65"/>
      <c r="AGI23" s="65"/>
      <c r="AGJ23" s="65"/>
      <c r="AGK23" s="65"/>
      <c r="AGL23" s="65"/>
      <c r="AGM23" s="65"/>
      <c r="AGN23" s="65"/>
      <c r="AGO23" s="65"/>
      <c r="AGP23" s="65"/>
      <c r="AGQ23" s="65"/>
      <c r="AGR23" s="65"/>
      <c r="AGS23" s="65"/>
      <c r="AGT23" s="65"/>
      <c r="AGU23" s="65"/>
      <c r="AGV23" s="65"/>
      <c r="AGW23" s="65"/>
      <c r="AGX23" s="65"/>
      <c r="AGY23" s="65"/>
      <c r="AGZ23" s="65"/>
      <c r="AHA23" s="65"/>
      <c r="AHB23" s="65"/>
      <c r="AHC23" s="65"/>
      <c r="AHD23" s="65"/>
      <c r="AHE23" s="65"/>
      <c r="AHF23" s="65"/>
      <c r="AHG23" s="65"/>
      <c r="AHH23" s="65"/>
      <c r="AHI23" s="65"/>
      <c r="AHJ23" s="65"/>
      <c r="AHK23" s="65"/>
      <c r="AHL23" s="65"/>
      <c r="AHM23" s="65"/>
      <c r="AHN23" s="65"/>
      <c r="AHO23" s="65"/>
      <c r="AHP23" s="65"/>
      <c r="AHQ23" s="65"/>
      <c r="AHR23" s="65"/>
      <c r="AHS23" s="65"/>
      <c r="AHT23" s="65"/>
      <c r="AHU23" s="65"/>
      <c r="AHV23" s="65"/>
      <c r="AHW23" s="65"/>
      <c r="AHX23" s="65"/>
      <c r="AHY23" s="65"/>
      <c r="AHZ23" s="65"/>
      <c r="AIA23" s="65"/>
      <c r="AIB23" s="65"/>
      <c r="AIC23" s="65"/>
      <c r="AID23" s="65"/>
      <c r="AIE23" s="65"/>
      <c r="AIF23" s="65"/>
      <c r="AIG23" s="65"/>
      <c r="AIH23" s="65"/>
      <c r="AII23" s="65"/>
      <c r="AIJ23" s="65"/>
      <c r="AIK23" s="65"/>
      <c r="AIL23" s="65"/>
      <c r="AIM23" s="65"/>
      <c r="AIN23" s="65"/>
      <c r="AIO23" s="65"/>
      <c r="AIP23" s="65"/>
      <c r="AIQ23" s="65"/>
      <c r="AIR23" s="65"/>
      <c r="AIS23" s="65"/>
      <c r="AIT23" s="65"/>
      <c r="AIU23" s="65"/>
      <c r="AIV23" s="65"/>
      <c r="AIW23" s="65"/>
      <c r="AIX23" s="65"/>
      <c r="AIY23" s="65"/>
      <c r="AIZ23" s="65"/>
      <c r="AJA23" s="65"/>
      <c r="AJB23" s="65"/>
      <c r="AJC23" s="65"/>
      <c r="AJD23" s="65"/>
      <c r="AJE23" s="65"/>
      <c r="AJF23" s="65"/>
      <c r="AJG23" s="65"/>
      <c r="AJH23" s="65"/>
      <c r="AJI23" s="65"/>
      <c r="AJJ23" s="65"/>
      <c r="AJK23" s="65"/>
      <c r="AJL23" s="65"/>
      <c r="AJM23" s="65"/>
      <c r="AJN23" s="65"/>
      <c r="AJO23" s="65"/>
      <c r="AJP23" s="65"/>
      <c r="AJQ23" s="65"/>
      <c r="AJR23" s="65"/>
      <c r="AJS23" s="65"/>
      <c r="AJT23" s="65"/>
      <c r="AJU23" s="65"/>
      <c r="AJV23" s="65"/>
      <c r="AJW23" s="65"/>
      <c r="AJX23" s="65"/>
      <c r="AJY23" s="65"/>
      <c r="AJZ23" s="65"/>
      <c r="AKA23" s="65"/>
      <c r="AKB23" s="65"/>
      <c r="AKC23" s="65"/>
      <c r="AKD23" s="65"/>
      <c r="AKE23" s="65"/>
      <c r="AKF23" s="65"/>
      <c r="AKG23" s="65"/>
      <c r="AKH23" s="65"/>
      <c r="AKI23" s="65"/>
      <c r="AKJ23" s="65"/>
      <c r="AKK23" s="65"/>
      <c r="AKL23" s="65"/>
      <c r="AKM23" s="65"/>
      <c r="AKN23" s="65"/>
      <c r="AKO23" s="65"/>
      <c r="AKP23" s="65"/>
      <c r="AKQ23" s="65"/>
      <c r="AKR23" s="65"/>
      <c r="AKS23" s="65"/>
      <c r="AKT23" s="65"/>
      <c r="AKU23" s="65"/>
      <c r="AKV23" s="65"/>
      <c r="AKW23" s="65"/>
      <c r="AKX23" s="65"/>
      <c r="AKY23" s="65"/>
      <c r="AKZ23" s="65"/>
      <c r="ALA23" s="65"/>
      <c r="ALB23" s="65"/>
      <c r="ALC23" s="65"/>
      <c r="ALD23" s="65"/>
      <c r="ALE23" s="65"/>
      <c r="ALF23" s="65"/>
      <c r="ALG23" s="65"/>
      <c r="ALH23" s="65"/>
      <c r="ALI23" s="65"/>
      <c r="ALJ23" s="65"/>
      <c r="ALK23" s="65"/>
      <c r="ALL23" s="65"/>
      <c r="ALM23" s="65"/>
      <c r="ALN23" s="65"/>
      <c r="ALO23" s="65"/>
      <c r="ALP23" s="65"/>
      <c r="ALQ23" s="65"/>
      <c r="ALR23" s="65"/>
      <c r="ALS23" s="65"/>
      <c r="ALT23" s="65"/>
      <c r="ALU23" s="65"/>
      <c r="ALV23" s="65"/>
      <c r="ALW23" s="65"/>
      <c r="ALX23" s="65"/>
      <c r="ALY23" s="65"/>
      <c r="ALZ23" s="65"/>
      <c r="AMA23" s="65"/>
      <c r="AMB23" s="65"/>
      <c r="AMC23" s="65"/>
      <c r="AMD23" s="65"/>
      <c r="AME23" s="65"/>
      <c r="AMF23" s="65"/>
      <c r="AMG23" s="65"/>
      <c r="AMH23" s="65"/>
      <c r="AMI23" s="65"/>
      <c r="AMJ23" s="65"/>
      <c r="AMK23" s="65"/>
      <c r="AML23" s="65"/>
      <c r="AMM23" s="65"/>
      <c r="AMN23" s="65"/>
      <c r="AMO23" s="65"/>
      <c r="AMP23" s="65"/>
      <c r="AMQ23" s="65"/>
      <c r="AMR23" s="65"/>
      <c r="AMS23" s="65"/>
      <c r="AMT23" s="65"/>
      <c r="AMU23" s="65"/>
      <c r="AMV23" s="65"/>
      <c r="AMW23" s="65"/>
      <c r="AMX23" s="65"/>
      <c r="AMY23" s="65"/>
      <c r="AMZ23" s="65"/>
      <c r="ANA23" s="65"/>
      <c r="ANB23" s="65"/>
      <c r="ANC23" s="65"/>
      <c r="AND23" s="65"/>
      <c r="ANE23" s="65"/>
      <c r="ANF23" s="65"/>
      <c r="ANG23" s="65"/>
      <c r="ANH23" s="65"/>
      <c r="ANI23" s="65"/>
      <c r="ANJ23" s="65"/>
      <c r="ANK23" s="65"/>
      <c r="ANL23" s="65"/>
      <c r="ANM23" s="65"/>
      <c r="ANN23" s="65"/>
      <c r="ANO23" s="65"/>
      <c r="ANP23" s="65"/>
      <c r="ANQ23" s="65"/>
      <c r="ANR23" s="65"/>
      <c r="ANS23" s="65"/>
      <c r="ANT23" s="65"/>
      <c r="ANU23" s="65"/>
      <c r="ANV23" s="65"/>
      <c r="ANW23" s="65"/>
      <c r="ANX23" s="65"/>
      <c r="ANY23" s="65"/>
      <c r="ANZ23" s="65"/>
      <c r="AOA23" s="65"/>
      <c r="AOB23" s="65"/>
      <c r="AOC23" s="65"/>
      <c r="AOD23" s="65"/>
      <c r="AOE23" s="65"/>
      <c r="AOF23" s="65"/>
      <c r="AOG23" s="65"/>
      <c r="AOH23" s="65"/>
      <c r="AOI23" s="65"/>
      <c r="AOJ23" s="65"/>
      <c r="AOK23" s="65"/>
      <c r="AOL23" s="65"/>
      <c r="AOM23" s="65"/>
      <c r="AON23" s="65"/>
      <c r="AOO23" s="65"/>
      <c r="AOP23" s="65"/>
      <c r="AOQ23" s="65"/>
      <c r="AOR23" s="65"/>
      <c r="AOS23" s="65"/>
      <c r="AOT23" s="65"/>
      <c r="AOU23" s="65"/>
      <c r="AOV23" s="65"/>
      <c r="AOW23" s="65"/>
      <c r="AOX23" s="65"/>
      <c r="AOY23" s="65"/>
      <c r="AOZ23" s="65"/>
      <c r="APA23" s="65"/>
      <c r="APB23" s="65"/>
      <c r="APC23" s="65"/>
      <c r="APD23" s="65"/>
      <c r="APE23" s="65"/>
      <c r="APF23" s="65"/>
      <c r="APG23" s="65"/>
      <c r="APH23" s="65"/>
      <c r="API23" s="65"/>
      <c r="APJ23" s="65"/>
      <c r="APK23" s="65"/>
      <c r="APL23" s="65"/>
      <c r="APM23" s="65"/>
      <c r="APN23" s="65"/>
      <c r="APO23" s="65"/>
      <c r="APP23" s="65"/>
      <c r="APQ23" s="65"/>
      <c r="APR23" s="65"/>
      <c r="APS23" s="65"/>
      <c r="APT23" s="65"/>
      <c r="APU23" s="65"/>
      <c r="APV23" s="65"/>
      <c r="APW23" s="65"/>
      <c r="APX23" s="65"/>
      <c r="APY23" s="65"/>
      <c r="APZ23" s="65"/>
      <c r="AQA23" s="65"/>
      <c r="AQB23" s="65"/>
      <c r="AQC23" s="65"/>
      <c r="AQD23" s="65"/>
      <c r="AQE23" s="65"/>
      <c r="AQF23" s="65"/>
      <c r="AQG23" s="65"/>
      <c r="AQH23" s="65"/>
      <c r="AQI23" s="65"/>
      <c r="AQJ23" s="65"/>
      <c r="AQK23" s="65"/>
      <c r="AQL23" s="65"/>
      <c r="AQM23" s="65"/>
      <c r="AQN23" s="65"/>
      <c r="AQO23" s="65"/>
      <c r="AQP23" s="65"/>
      <c r="AQQ23" s="65"/>
      <c r="AQR23" s="65"/>
      <c r="AQS23" s="65"/>
      <c r="AQT23" s="65"/>
      <c r="AQU23" s="65"/>
      <c r="AQV23" s="65"/>
      <c r="AQW23" s="65"/>
      <c r="AQX23" s="65"/>
      <c r="AQY23" s="65"/>
      <c r="AQZ23" s="65"/>
      <c r="ARA23" s="65"/>
      <c r="ARB23" s="65"/>
      <c r="ARC23" s="65"/>
      <c r="ARD23" s="65"/>
      <c r="ARE23" s="65"/>
      <c r="ARF23" s="65"/>
      <c r="ARG23" s="65"/>
      <c r="ARH23" s="65"/>
      <c r="ARI23" s="65"/>
      <c r="ARJ23" s="65"/>
      <c r="ARK23" s="65"/>
      <c r="ARL23" s="65"/>
      <c r="ARM23" s="65"/>
      <c r="ARN23" s="65"/>
      <c r="ARO23" s="65"/>
      <c r="ARP23" s="65"/>
      <c r="ARQ23" s="65"/>
      <c r="ARR23" s="65"/>
      <c r="ARS23" s="65"/>
      <c r="ART23" s="65"/>
      <c r="ARU23" s="65"/>
      <c r="ARV23" s="65"/>
      <c r="ARW23" s="65"/>
      <c r="ARX23" s="65"/>
      <c r="ARY23" s="65"/>
      <c r="ARZ23" s="65"/>
      <c r="ASA23" s="65"/>
      <c r="ASB23" s="65"/>
      <c r="ASC23" s="65"/>
      <c r="ASD23" s="65"/>
      <c r="ASE23" s="65"/>
      <c r="ASF23" s="65"/>
      <c r="ASG23" s="65"/>
      <c r="ASH23" s="65"/>
      <c r="ASI23" s="65"/>
      <c r="ASJ23" s="65"/>
      <c r="ASK23" s="65"/>
      <c r="ASL23" s="65"/>
      <c r="ASM23" s="65"/>
      <c r="ASN23" s="65"/>
      <c r="ASO23" s="65"/>
      <c r="ASP23" s="65"/>
      <c r="ASQ23" s="65"/>
      <c r="ASR23" s="65"/>
      <c r="ASS23" s="65"/>
      <c r="AST23" s="65"/>
      <c r="ASU23" s="65"/>
      <c r="ASV23" s="65"/>
      <c r="ASW23" s="65"/>
      <c r="ASX23" s="65"/>
      <c r="ASY23" s="65"/>
      <c r="ASZ23" s="65"/>
      <c r="ATA23" s="65"/>
      <c r="ATB23" s="65"/>
      <c r="ATC23" s="65"/>
      <c r="ATD23" s="65"/>
      <c r="ATE23" s="65"/>
      <c r="ATF23" s="65"/>
      <c r="ATG23" s="65"/>
      <c r="ATH23" s="65"/>
      <c r="ATI23" s="65"/>
      <c r="ATJ23" s="65"/>
      <c r="ATK23" s="65"/>
      <c r="ATL23" s="65"/>
      <c r="ATM23" s="65"/>
      <c r="ATN23" s="65"/>
      <c r="ATO23" s="65"/>
      <c r="ATP23" s="65"/>
      <c r="ATQ23" s="65"/>
      <c r="ATR23" s="65"/>
      <c r="ATS23" s="65"/>
      <c r="ATT23" s="65"/>
      <c r="ATU23" s="65"/>
      <c r="ATV23" s="65"/>
      <c r="ATW23" s="65"/>
      <c r="ATX23" s="65"/>
      <c r="ATY23" s="65"/>
      <c r="ATZ23" s="65"/>
      <c r="AUA23" s="65"/>
      <c r="AUB23" s="65"/>
      <c r="AUC23" s="65"/>
      <c r="AUD23" s="65"/>
      <c r="AUE23" s="65"/>
      <c r="AUF23" s="65"/>
      <c r="AUG23" s="65"/>
      <c r="AUH23" s="65"/>
      <c r="AUI23" s="65"/>
      <c r="AUJ23" s="65"/>
      <c r="AUK23" s="65"/>
      <c r="AUL23" s="65"/>
      <c r="AUM23" s="65"/>
      <c r="AUN23" s="65"/>
      <c r="AUO23" s="65"/>
      <c r="AUP23" s="65"/>
      <c r="AUQ23" s="65"/>
      <c r="AUR23" s="65"/>
      <c r="AUS23" s="65"/>
      <c r="AUT23" s="65"/>
      <c r="AUU23" s="65"/>
      <c r="AUV23" s="65"/>
      <c r="AUW23" s="65"/>
      <c r="AUX23" s="65"/>
      <c r="AUY23" s="65"/>
      <c r="AUZ23" s="65"/>
      <c r="AVA23" s="65"/>
      <c r="AVB23" s="65"/>
      <c r="AVC23" s="65"/>
      <c r="AVD23" s="65"/>
      <c r="AVE23" s="65"/>
      <c r="AVF23" s="65"/>
      <c r="AVG23" s="65"/>
      <c r="AVH23" s="65"/>
      <c r="AVI23" s="65"/>
      <c r="AVJ23" s="65"/>
      <c r="AVK23" s="65"/>
      <c r="AVL23" s="65"/>
      <c r="AVM23" s="65"/>
      <c r="AVN23" s="65"/>
      <c r="AVO23" s="65"/>
      <c r="AVP23" s="65"/>
      <c r="AVQ23" s="65"/>
      <c r="AVR23" s="65"/>
      <c r="AVS23" s="65"/>
      <c r="AVT23" s="65"/>
      <c r="AVU23" s="65"/>
      <c r="AVV23" s="65"/>
      <c r="AVW23" s="65"/>
      <c r="AVX23" s="65"/>
      <c r="AVY23" s="65"/>
      <c r="AVZ23" s="65"/>
      <c r="AWA23" s="65"/>
      <c r="AWB23" s="65"/>
      <c r="AWC23" s="65"/>
      <c r="AWD23" s="65"/>
      <c r="AWE23" s="65"/>
      <c r="AWF23" s="65"/>
      <c r="AWG23" s="65"/>
      <c r="AWH23" s="65"/>
      <c r="AWI23" s="65"/>
      <c r="AWJ23" s="65"/>
      <c r="AWK23" s="65"/>
      <c r="AWL23" s="65"/>
      <c r="AWM23" s="65"/>
      <c r="AWN23" s="65"/>
      <c r="AWO23" s="65"/>
      <c r="AWP23" s="65"/>
      <c r="AWQ23" s="65"/>
      <c r="AWR23" s="65"/>
      <c r="AWS23" s="65"/>
      <c r="AWT23" s="65"/>
      <c r="AWU23" s="65"/>
      <c r="AWV23" s="65"/>
      <c r="AWW23" s="65"/>
      <c r="AWX23" s="65"/>
      <c r="AWY23" s="65"/>
      <c r="AWZ23" s="65"/>
      <c r="AXA23" s="65"/>
      <c r="AXB23" s="65"/>
      <c r="AXC23" s="65"/>
      <c r="AXD23" s="65"/>
      <c r="AXE23" s="65"/>
      <c r="AXF23" s="65"/>
      <c r="AXG23" s="65"/>
      <c r="AXH23" s="65"/>
      <c r="AXI23" s="65"/>
      <c r="AXJ23" s="65"/>
      <c r="AXK23" s="65"/>
      <c r="AXL23" s="65"/>
      <c r="AXM23" s="65"/>
      <c r="AXN23" s="65"/>
      <c r="AXO23" s="65"/>
      <c r="AXP23" s="65"/>
      <c r="AXQ23" s="65"/>
      <c r="AXR23" s="65"/>
      <c r="AXS23" s="65"/>
      <c r="AXT23" s="65"/>
      <c r="AXU23" s="65"/>
      <c r="AXV23" s="65"/>
      <c r="AXW23" s="65"/>
      <c r="AXX23" s="65"/>
      <c r="AXY23" s="65"/>
      <c r="AXZ23" s="65"/>
      <c r="AYA23" s="65"/>
      <c r="AYB23" s="65"/>
      <c r="AYC23" s="65"/>
      <c r="AYD23" s="65"/>
      <c r="AYE23" s="65"/>
      <c r="AYF23" s="65"/>
      <c r="AYG23" s="65"/>
      <c r="AYH23" s="65"/>
      <c r="AYI23" s="65"/>
      <c r="AYJ23" s="65"/>
      <c r="AYK23" s="65"/>
      <c r="AYL23" s="65"/>
      <c r="AYM23" s="65"/>
      <c r="AYN23" s="65"/>
      <c r="AYO23" s="65"/>
      <c r="AYP23" s="65"/>
      <c r="AYQ23" s="65"/>
      <c r="AYR23" s="65"/>
      <c r="AYS23" s="65"/>
      <c r="AYT23" s="65"/>
      <c r="AYU23" s="65"/>
      <c r="AYV23" s="65"/>
      <c r="AYW23" s="65"/>
      <c r="AYX23" s="65"/>
      <c r="AYY23" s="65"/>
      <c r="AYZ23" s="65"/>
      <c r="AZA23" s="65"/>
      <c r="AZB23" s="65"/>
      <c r="AZC23" s="65"/>
      <c r="AZD23" s="65"/>
      <c r="AZE23" s="65"/>
      <c r="AZF23" s="65"/>
      <c r="AZG23" s="65"/>
      <c r="AZH23" s="65"/>
      <c r="AZI23" s="65"/>
      <c r="AZJ23" s="65"/>
      <c r="AZK23" s="65"/>
      <c r="AZL23" s="65"/>
      <c r="AZM23" s="65"/>
      <c r="AZN23" s="65"/>
      <c r="AZO23" s="65"/>
      <c r="AZP23" s="65"/>
      <c r="AZQ23" s="65"/>
      <c r="AZR23" s="65"/>
      <c r="AZS23" s="65"/>
      <c r="AZT23" s="65"/>
      <c r="AZU23" s="65"/>
      <c r="AZV23" s="65"/>
      <c r="AZW23" s="65"/>
      <c r="AZX23" s="65"/>
      <c r="AZY23" s="65"/>
      <c r="AZZ23" s="65"/>
      <c r="BAA23" s="65"/>
      <c r="BAB23" s="65"/>
      <c r="BAC23" s="65"/>
      <c r="BAD23" s="65"/>
      <c r="BAE23" s="65"/>
      <c r="BAF23" s="65"/>
      <c r="BAG23" s="65"/>
      <c r="BAH23" s="65"/>
      <c r="BAI23" s="65"/>
      <c r="BAJ23" s="65"/>
      <c r="BAK23" s="65"/>
      <c r="BAL23" s="65"/>
      <c r="BAM23" s="65"/>
      <c r="BAN23" s="65"/>
      <c r="BAO23" s="65"/>
      <c r="BAP23" s="65"/>
      <c r="BAQ23" s="65"/>
      <c r="BAR23" s="65"/>
      <c r="BAS23" s="65"/>
      <c r="BAT23" s="65"/>
      <c r="BAU23" s="65"/>
      <c r="BAV23" s="65"/>
      <c r="BAW23" s="65"/>
      <c r="BAX23" s="65"/>
      <c r="BAY23" s="65"/>
      <c r="BAZ23" s="65"/>
      <c r="BBA23" s="65"/>
      <c r="BBB23" s="65"/>
      <c r="BBC23" s="65"/>
      <c r="BBD23" s="65"/>
      <c r="BBE23" s="65"/>
      <c r="BBF23" s="65"/>
      <c r="BBG23" s="65"/>
      <c r="BBH23" s="65"/>
      <c r="BBI23" s="65"/>
      <c r="BBJ23" s="65"/>
      <c r="BBK23" s="65"/>
      <c r="BBL23" s="65"/>
      <c r="BBM23" s="65"/>
      <c r="BBN23" s="65"/>
      <c r="BBO23" s="65"/>
      <c r="BBP23" s="65"/>
      <c r="BBQ23" s="65"/>
      <c r="BBR23" s="65"/>
      <c r="BBS23" s="65"/>
      <c r="BBT23" s="65"/>
      <c r="BBU23" s="65"/>
      <c r="BBV23" s="65"/>
      <c r="BBW23" s="65"/>
      <c r="BBX23" s="65"/>
      <c r="BBY23" s="65"/>
      <c r="BBZ23" s="65"/>
      <c r="BCA23" s="65"/>
      <c r="BCB23" s="65"/>
      <c r="BCC23" s="65"/>
      <c r="BCD23" s="65"/>
      <c r="BCE23" s="65"/>
      <c r="BCF23" s="65"/>
      <c r="BCG23" s="65"/>
      <c r="BCH23" s="65"/>
      <c r="BCI23" s="65"/>
      <c r="BCJ23" s="65"/>
      <c r="BCK23" s="65"/>
      <c r="BCL23" s="65"/>
      <c r="BCM23" s="65"/>
      <c r="BCN23" s="65"/>
      <c r="BCO23" s="65"/>
      <c r="BCP23" s="65"/>
      <c r="BCQ23" s="65"/>
      <c r="BCR23" s="65"/>
      <c r="BCS23" s="65"/>
      <c r="BCT23" s="65"/>
      <c r="BCU23" s="65"/>
      <c r="BCV23" s="65"/>
      <c r="BCW23" s="65"/>
      <c r="BCX23" s="65"/>
      <c r="BCY23" s="65"/>
      <c r="BCZ23" s="65"/>
      <c r="BDA23" s="65"/>
      <c r="BDB23" s="65"/>
      <c r="BDC23" s="65"/>
      <c r="BDD23" s="65"/>
      <c r="BDE23" s="65"/>
      <c r="BDF23" s="65"/>
      <c r="BDG23" s="65"/>
      <c r="BDH23" s="65"/>
      <c r="BDI23" s="65"/>
      <c r="BDJ23" s="65"/>
      <c r="BDK23" s="65"/>
      <c r="BDL23" s="65"/>
      <c r="BDM23" s="65"/>
      <c r="BDN23" s="65"/>
      <c r="BDO23" s="65"/>
      <c r="BDP23" s="65"/>
      <c r="BDQ23" s="65"/>
      <c r="BDR23" s="65"/>
      <c r="BDS23" s="65"/>
      <c r="BDT23" s="65"/>
      <c r="BDU23" s="65"/>
      <c r="BDV23" s="65"/>
      <c r="BDW23" s="65"/>
      <c r="BDX23" s="65"/>
      <c r="BDY23" s="65"/>
      <c r="BDZ23" s="65"/>
      <c r="BEA23" s="65"/>
      <c r="BEB23" s="65"/>
      <c r="BEC23" s="65"/>
      <c r="BED23" s="65"/>
      <c r="BEE23" s="65"/>
      <c r="BEF23" s="65"/>
      <c r="BEG23" s="65"/>
      <c r="BEH23" s="65"/>
      <c r="BEI23" s="65"/>
      <c r="BEJ23" s="65"/>
      <c r="BEK23" s="65"/>
      <c r="BEL23" s="65"/>
      <c r="BEM23" s="65"/>
      <c r="BEN23" s="65"/>
      <c r="BEO23" s="65"/>
      <c r="BEP23" s="65"/>
      <c r="BEQ23" s="65"/>
      <c r="BER23" s="65"/>
      <c r="BES23" s="65"/>
      <c r="BET23" s="65"/>
      <c r="BEU23" s="65"/>
      <c r="BEV23" s="65"/>
      <c r="BEW23" s="65"/>
      <c r="BEX23" s="65"/>
      <c r="BEY23" s="65"/>
      <c r="BEZ23" s="65"/>
      <c r="BFA23" s="65"/>
      <c r="BFB23" s="65"/>
      <c r="BFC23" s="65"/>
      <c r="BFD23" s="65"/>
      <c r="BFE23" s="65"/>
      <c r="BFF23" s="65"/>
      <c r="BFG23" s="65"/>
      <c r="BFH23" s="65"/>
      <c r="BFI23" s="65"/>
      <c r="BFJ23" s="65"/>
      <c r="BFK23" s="65"/>
      <c r="BFL23" s="65"/>
      <c r="BFM23" s="65"/>
      <c r="BFN23" s="65"/>
      <c r="BFO23" s="65"/>
      <c r="BFP23" s="65"/>
      <c r="BFQ23" s="65"/>
      <c r="BFR23" s="65"/>
      <c r="BFS23" s="65"/>
      <c r="BFT23" s="65"/>
      <c r="BFU23" s="65"/>
      <c r="BFV23" s="65"/>
      <c r="BFW23" s="65"/>
      <c r="BFX23" s="65"/>
      <c r="BFY23" s="65"/>
      <c r="BFZ23" s="65"/>
      <c r="BGA23" s="65"/>
      <c r="BGB23" s="65"/>
      <c r="BGC23" s="65"/>
      <c r="BGD23" s="65"/>
      <c r="BGE23" s="65"/>
      <c r="BGF23" s="65"/>
      <c r="BGG23" s="65"/>
      <c r="BGH23" s="65"/>
      <c r="BGI23" s="65"/>
      <c r="BGJ23" s="65"/>
      <c r="BGK23" s="65"/>
      <c r="BGL23" s="65"/>
      <c r="BGM23" s="65"/>
      <c r="BGN23" s="65"/>
      <c r="BGO23" s="65"/>
      <c r="BGP23" s="65"/>
      <c r="BGQ23" s="65"/>
      <c r="BGR23" s="65"/>
      <c r="BGS23" s="65"/>
      <c r="BGT23" s="65"/>
      <c r="BGU23" s="65"/>
      <c r="BGV23" s="65"/>
      <c r="BGW23" s="65"/>
      <c r="BGX23" s="65"/>
      <c r="BGY23" s="65"/>
      <c r="BGZ23" s="65"/>
      <c r="BHA23" s="65"/>
      <c r="BHB23" s="65"/>
      <c r="BHC23" s="65"/>
      <c r="BHD23" s="65"/>
      <c r="BHE23" s="65"/>
      <c r="BHF23" s="65"/>
      <c r="BHG23" s="65"/>
      <c r="BHH23" s="65"/>
      <c r="BHI23" s="65"/>
      <c r="BHJ23" s="65"/>
      <c r="BHK23" s="65"/>
      <c r="BHL23" s="65"/>
      <c r="BHM23" s="65"/>
      <c r="BHN23" s="65"/>
      <c r="BHO23" s="65"/>
      <c r="BHP23" s="65"/>
      <c r="BHQ23" s="65"/>
      <c r="BHR23" s="65"/>
      <c r="BHS23" s="65"/>
      <c r="BHT23" s="65"/>
      <c r="BHU23" s="65"/>
      <c r="BHV23" s="65"/>
      <c r="BHW23" s="65"/>
      <c r="BHX23" s="65"/>
      <c r="BHY23" s="65"/>
      <c r="BHZ23" s="65"/>
      <c r="BIA23" s="65"/>
      <c r="BIB23" s="65"/>
      <c r="BIC23" s="65"/>
      <c r="BID23" s="65"/>
      <c r="BIE23" s="65"/>
      <c r="BIF23" s="65"/>
      <c r="BIG23" s="65"/>
      <c r="BIH23" s="65"/>
      <c r="BII23" s="65"/>
      <c r="BIJ23" s="65"/>
      <c r="BIK23" s="65"/>
      <c r="BIL23" s="65"/>
      <c r="BIM23" s="65"/>
      <c r="BIN23" s="65"/>
      <c r="BIO23" s="65"/>
      <c r="BIP23" s="65"/>
      <c r="BIQ23" s="65"/>
      <c r="BIR23" s="65"/>
      <c r="BIS23" s="65"/>
      <c r="BIT23" s="65"/>
      <c r="BIU23" s="65"/>
      <c r="BIV23" s="65"/>
      <c r="BIW23" s="65"/>
      <c r="BIX23" s="65"/>
      <c r="BIY23" s="65"/>
      <c r="BIZ23" s="65"/>
      <c r="BJA23" s="65"/>
      <c r="BJB23" s="65"/>
      <c r="BJC23" s="65"/>
      <c r="BJD23" s="65"/>
      <c r="BJE23" s="65"/>
      <c r="BJF23" s="65"/>
      <c r="BJG23" s="65"/>
      <c r="BJH23" s="65"/>
      <c r="BJI23" s="65"/>
      <c r="BJJ23" s="65"/>
      <c r="BJK23" s="65"/>
      <c r="BJL23" s="65"/>
      <c r="BJM23" s="65"/>
      <c r="BJN23" s="65"/>
      <c r="BJO23" s="65"/>
      <c r="BJP23" s="65"/>
      <c r="BJQ23" s="65"/>
      <c r="BJR23" s="65"/>
      <c r="BJS23" s="65"/>
      <c r="BJT23" s="65"/>
      <c r="BJU23" s="65"/>
      <c r="BJV23" s="65"/>
      <c r="BJW23" s="65"/>
      <c r="BJX23" s="65"/>
      <c r="BJY23" s="65"/>
      <c r="BJZ23" s="65"/>
      <c r="BKA23" s="65"/>
      <c r="BKB23" s="65"/>
      <c r="BKC23" s="65"/>
      <c r="BKD23" s="65"/>
      <c r="BKE23" s="65"/>
      <c r="BKF23" s="65"/>
      <c r="BKG23" s="65"/>
      <c r="BKH23" s="65"/>
      <c r="BKI23" s="65"/>
      <c r="BKJ23" s="65"/>
      <c r="BKK23" s="65"/>
      <c r="BKL23" s="65"/>
      <c r="BKM23" s="65"/>
      <c r="BKN23" s="65"/>
      <c r="BKO23" s="65"/>
      <c r="BKP23" s="65"/>
      <c r="BKQ23" s="65"/>
      <c r="BKR23" s="65"/>
      <c r="BKS23" s="65"/>
      <c r="BKT23" s="65"/>
      <c r="BKU23" s="65"/>
      <c r="BKV23" s="65"/>
      <c r="BKW23" s="65"/>
      <c r="BKX23" s="65"/>
      <c r="BKY23" s="65"/>
      <c r="BKZ23" s="65"/>
      <c r="BLA23" s="65"/>
      <c r="BLB23" s="65"/>
      <c r="BLC23" s="65"/>
      <c r="BLD23" s="65"/>
      <c r="BLE23" s="65"/>
      <c r="BLF23" s="65"/>
      <c r="BLG23" s="65"/>
      <c r="BLH23" s="65"/>
      <c r="BLI23" s="65"/>
      <c r="BLJ23" s="65"/>
      <c r="BLK23" s="65"/>
      <c r="BLL23" s="65"/>
      <c r="BLM23" s="65"/>
      <c r="BLN23" s="65"/>
      <c r="BLO23" s="65"/>
      <c r="BLP23" s="65"/>
      <c r="BLQ23" s="65"/>
      <c r="BLR23" s="65"/>
      <c r="BLS23" s="65"/>
      <c r="BLT23" s="65"/>
      <c r="BLU23" s="65"/>
      <c r="BLV23" s="65"/>
      <c r="BLW23" s="65"/>
      <c r="BLX23" s="65"/>
      <c r="BLY23" s="65"/>
      <c r="BLZ23" s="65"/>
      <c r="BMA23" s="65"/>
      <c r="BMB23" s="65"/>
      <c r="BMC23" s="65"/>
      <c r="BMD23" s="65"/>
      <c r="BME23" s="65"/>
      <c r="BMF23" s="65"/>
      <c r="BMG23" s="65"/>
      <c r="BMH23" s="65"/>
      <c r="BMI23" s="65"/>
      <c r="BMJ23" s="65"/>
      <c r="BMK23" s="65"/>
      <c r="BML23" s="65"/>
      <c r="BMM23" s="65"/>
      <c r="BMN23" s="65"/>
      <c r="BMO23" s="65"/>
      <c r="BMP23" s="65"/>
      <c r="BMQ23" s="65"/>
      <c r="BMR23" s="65"/>
      <c r="BMS23" s="65"/>
      <c r="BMT23" s="65"/>
      <c r="BMU23" s="65"/>
      <c r="BMV23" s="65"/>
      <c r="BMW23" s="65"/>
      <c r="BMX23" s="65"/>
      <c r="BMY23" s="65"/>
      <c r="BMZ23" s="65"/>
      <c r="BNA23" s="65"/>
      <c r="BNB23" s="65"/>
      <c r="BNC23" s="65"/>
      <c r="BND23" s="65"/>
      <c r="BNE23" s="65"/>
      <c r="BNF23" s="65"/>
      <c r="BNG23" s="65"/>
      <c r="BNH23" s="65"/>
      <c r="BNI23" s="65"/>
      <c r="BNJ23" s="65"/>
      <c r="BNK23" s="65"/>
      <c r="BNL23" s="65"/>
      <c r="BNM23" s="65"/>
      <c r="BNN23" s="65"/>
      <c r="BNO23" s="65"/>
      <c r="BNP23" s="65"/>
      <c r="BNQ23" s="65"/>
      <c r="BNR23" s="65"/>
      <c r="BNS23" s="65"/>
      <c r="BNT23" s="65"/>
      <c r="BNU23" s="65"/>
      <c r="BNV23" s="65"/>
      <c r="BNW23" s="65"/>
      <c r="BNX23" s="65"/>
      <c r="BNY23" s="65"/>
      <c r="BNZ23" s="65"/>
      <c r="BOA23" s="65"/>
      <c r="BOB23" s="65"/>
      <c r="BOC23" s="65"/>
      <c r="BOD23" s="65"/>
      <c r="BOE23" s="65"/>
      <c r="BOF23" s="65"/>
      <c r="BOG23" s="65"/>
      <c r="BOH23" s="65"/>
      <c r="BOI23" s="65"/>
      <c r="BOJ23" s="65"/>
      <c r="BOK23" s="65"/>
      <c r="BOL23" s="65"/>
      <c r="BOM23" s="65"/>
      <c r="BON23" s="65"/>
      <c r="BOO23" s="65"/>
      <c r="BOP23" s="65"/>
      <c r="BOQ23" s="65"/>
      <c r="BOR23" s="65"/>
      <c r="BOS23" s="65"/>
      <c r="BOT23" s="65"/>
      <c r="BOU23" s="65"/>
      <c r="BOV23" s="65"/>
      <c r="BOW23" s="65"/>
      <c r="BOX23" s="65"/>
      <c r="BOY23" s="65"/>
      <c r="BOZ23" s="65"/>
      <c r="BPA23" s="65"/>
      <c r="BPB23" s="65"/>
      <c r="BPC23" s="65"/>
      <c r="BPD23" s="65"/>
      <c r="BPE23" s="65"/>
      <c r="BPF23" s="65"/>
      <c r="BPG23" s="65"/>
      <c r="BPH23" s="65"/>
      <c r="BPI23" s="65"/>
      <c r="BPJ23" s="65"/>
      <c r="BPK23" s="65"/>
      <c r="BPL23" s="65"/>
      <c r="BPM23" s="65"/>
      <c r="BPN23" s="65"/>
      <c r="BPO23" s="65"/>
      <c r="BPP23" s="65"/>
      <c r="BPQ23" s="65"/>
      <c r="BPR23" s="65"/>
      <c r="BPS23" s="65"/>
      <c r="BPT23" s="65"/>
      <c r="BPU23" s="65"/>
      <c r="BPV23" s="65"/>
      <c r="BPW23" s="65"/>
      <c r="BPX23" s="65"/>
      <c r="BPY23" s="65"/>
      <c r="BPZ23" s="65"/>
      <c r="BQA23" s="65"/>
      <c r="BQB23" s="65"/>
      <c r="BQC23" s="65"/>
      <c r="BQD23" s="65"/>
      <c r="BQE23" s="65"/>
      <c r="BQF23" s="65"/>
      <c r="BQG23" s="65"/>
      <c r="BQH23" s="65"/>
      <c r="BQI23" s="65"/>
      <c r="BQJ23" s="65"/>
      <c r="BQK23" s="65"/>
      <c r="BQL23" s="65"/>
      <c r="BQM23" s="65"/>
      <c r="BQN23" s="65"/>
      <c r="BQO23" s="65"/>
      <c r="BQP23" s="65"/>
      <c r="BQQ23" s="65"/>
      <c r="BQR23" s="65"/>
      <c r="BQS23" s="65"/>
      <c r="BQT23" s="65"/>
      <c r="BQU23" s="65"/>
      <c r="BQV23" s="65"/>
      <c r="BQW23" s="65"/>
      <c r="BQX23" s="65"/>
      <c r="BQY23" s="65"/>
      <c r="BQZ23" s="65"/>
      <c r="BRA23" s="65"/>
      <c r="BRB23" s="65"/>
      <c r="BRC23" s="65"/>
      <c r="BRD23" s="65"/>
      <c r="BRE23" s="65"/>
      <c r="BRF23" s="65"/>
      <c r="BRG23" s="65"/>
      <c r="BRH23" s="65"/>
      <c r="BRI23" s="65"/>
      <c r="BRJ23" s="65"/>
      <c r="BRK23" s="65"/>
      <c r="BRL23" s="65"/>
      <c r="BRM23" s="65"/>
      <c r="BRN23" s="65"/>
      <c r="BRO23" s="65"/>
      <c r="BRP23" s="65"/>
      <c r="BRQ23" s="65"/>
      <c r="BRR23" s="65"/>
      <c r="BRS23" s="65"/>
      <c r="BRT23" s="65"/>
      <c r="BRU23" s="65"/>
      <c r="BRV23" s="65"/>
      <c r="BRW23" s="65"/>
      <c r="BRX23" s="65"/>
      <c r="BRY23" s="65"/>
      <c r="BRZ23" s="65"/>
      <c r="BSA23" s="65"/>
      <c r="BSB23" s="65"/>
      <c r="BSC23" s="65"/>
      <c r="BSD23" s="65"/>
      <c r="BSE23" s="65"/>
      <c r="BSF23" s="65"/>
      <c r="BSG23" s="65"/>
      <c r="BSH23" s="65"/>
      <c r="BSI23" s="65"/>
      <c r="BSJ23" s="65"/>
      <c r="BSK23" s="65"/>
      <c r="BSL23" s="65"/>
      <c r="BSM23" s="65"/>
      <c r="BSN23" s="65"/>
      <c r="BSO23" s="65"/>
      <c r="BSP23" s="65"/>
      <c r="BSQ23" s="65"/>
      <c r="BSR23" s="65"/>
      <c r="BSS23" s="65"/>
      <c r="BST23" s="65"/>
      <c r="BSU23" s="65"/>
      <c r="BSV23" s="65"/>
      <c r="BSW23" s="65"/>
      <c r="BSX23" s="65"/>
      <c r="BSY23" s="65"/>
      <c r="BSZ23" s="65"/>
      <c r="BTA23" s="65"/>
      <c r="BTB23" s="65"/>
      <c r="BTC23" s="65"/>
      <c r="BTD23" s="65"/>
      <c r="BTE23" s="65"/>
      <c r="BTF23" s="65"/>
      <c r="BTG23" s="65"/>
      <c r="BTH23" s="65"/>
      <c r="BTI23" s="65"/>
      <c r="BTJ23" s="65"/>
      <c r="BTK23" s="65"/>
      <c r="BTL23" s="65"/>
      <c r="BTM23" s="65"/>
      <c r="BTN23" s="65"/>
      <c r="BTO23" s="65"/>
      <c r="BTP23" s="65"/>
      <c r="BTQ23" s="65"/>
      <c r="BTR23" s="65"/>
      <c r="BTS23" s="65"/>
      <c r="BTT23" s="65"/>
      <c r="BTU23" s="65"/>
      <c r="BTV23" s="65"/>
      <c r="BTW23" s="65"/>
      <c r="BTX23" s="65"/>
      <c r="BTY23" s="65"/>
      <c r="BTZ23" s="65"/>
      <c r="BUA23" s="65"/>
      <c r="BUB23" s="65"/>
      <c r="BUC23" s="65"/>
      <c r="BUD23" s="65"/>
      <c r="BUE23" s="65"/>
      <c r="BUF23" s="65"/>
      <c r="BUG23" s="65"/>
      <c r="BUH23" s="65"/>
      <c r="BUI23" s="65"/>
      <c r="BUJ23" s="65"/>
      <c r="BUK23" s="65"/>
      <c r="BUL23" s="65"/>
      <c r="BUM23" s="65"/>
      <c r="BUN23" s="65"/>
      <c r="BUO23" s="65"/>
      <c r="BUP23" s="65"/>
      <c r="BUQ23" s="65"/>
      <c r="BUR23" s="65"/>
      <c r="BUS23" s="65"/>
      <c r="BUT23" s="65"/>
      <c r="BUU23" s="65"/>
      <c r="BUV23" s="65"/>
      <c r="BUW23" s="65"/>
      <c r="BUX23" s="65"/>
      <c r="BUY23" s="65"/>
      <c r="BUZ23" s="65"/>
      <c r="BVA23" s="65"/>
      <c r="BVB23" s="65"/>
      <c r="BVC23" s="65"/>
      <c r="BVD23" s="65"/>
      <c r="BVE23" s="65"/>
      <c r="BVF23" s="65"/>
      <c r="BVG23" s="65"/>
      <c r="BVH23" s="65"/>
      <c r="BVI23" s="65"/>
      <c r="BVJ23" s="65"/>
      <c r="BVK23" s="65"/>
      <c r="BVL23" s="65"/>
      <c r="BVM23" s="65"/>
      <c r="BVN23" s="65"/>
      <c r="BVO23" s="65"/>
      <c r="BVP23" s="65"/>
      <c r="BVQ23" s="65"/>
      <c r="BVR23" s="65"/>
      <c r="BVS23" s="65"/>
      <c r="BVT23" s="65"/>
      <c r="BVU23" s="65"/>
      <c r="BVV23" s="65"/>
      <c r="BVW23" s="65"/>
      <c r="BVX23" s="65"/>
      <c r="BVY23" s="65"/>
      <c r="BVZ23" s="65"/>
      <c r="BWA23" s="65"/>
      <c r="BWB23" s="65"/>
      <c r="BWC23" s="65"/>
      <c r="BWD23" s="65"/>
      <c r="BWE23" s="65"/>
      <c r="BWF23" s="65"/>
      <c r="BWG23" s="65"/>
      <c r="BWH23" s="65"/>
      <c r="BWI23" s="65"/>
      <c r="BWJ23" s="65"/>
      <c r="BWK23" s="65"/>
      <c r="BWL23" s="65"/>
      <c r="BWM23" s="65"/>
      <c r="BWN23" s="65"/>
      <c r="BWO23" s="65"/>
      <c r="BWP23" s="65"/>
      <c r="BWQ23" s="65"/>
      <c r="BWR23" s="65"/>
      <c r="BWS23" s="65"/>
      <c r="BWT23" s="65"/>
      <c r="BWU23" s="65"/>
      <c r="BWV23" s="65"/>
      <c r="BWW23" s="65"/>
      <c r="BWX23" s="65"/>
      <c r="BWY23" s="65"/>
      <c r="BWZ23" s="65"/>
      <c r="BXA23" s="65"/>
      <c r="BXB23" s="65"/>
      <c r="BXC23" s="65"/>
      <c r="BXD23" s="65"/>
      <c r="BXE23" s="65"/>
      <c r="BXF23" s="65"/>
      <c r="BXG23" s="65"/>
      <c r="BXH23" s="65"/>
      <c r="BXI23" s="65"/>
      <c r="BXJ23" s="65"/>
      <c r="BXK23" s="65"/>
      <c r="BXL23" s="65"/>
      <c r="BXM23" s="65"/>
      <c r="BXN23" s="65"/>
      <c r="BXO23" s="65"/>
      <c r="BXP23" s="65"/>
      <c r="BXQ23" s="65"/>
      <c r="BXR23" s="65"/>
      <c r="BXS23" s="65"/>
      <c r="BXT23" s="65"/>
      <c r="BXU23" s="65"/>
      <c r="BXV23" s="65"/>
      <c r="BXW23" s="65"/>
      <c r="BXX23" s="65"/>
      <c r="BXY23" s="65"/>
      <c r="BXZ23" s="65"/>
      <c r="BYA23" s="65"/>
      <c r="BYB23" s="65"/>
      <c r="BYC23" s="65"/>
      <c r="BYD23" s="65"/>
      <c r="BYE23" s="65"/>
      <c r="BYF23" s="65"/>
      <c r="BYG23" s="65"/>
      <c r="BYH23" s="65"/>
      <c r="BYI23" s="65"/>
      <c r="BYJ23" s="65"/>
      <c r="BYK23" s="65"/>
      <c r="BYL23" s="65"/>
      <c r="BYM23" s="65"/>
      <c r="BYN23" s="65"/>
      <c r="BYO23" s="65"/>
      <c r="BYP23" s="65"/>
      <c r="BYQ23" s="65"/>
      <c r="BYR23" s="65"/>
      <c r="BYS23" s="65"/>
      <c r="BYT23" s="65"/>
      <c r="BYU23" s="65"/>
      <c r="BYV23" s="65"/>
      <c r="BYW23" s="65"/>
      <c r="BYX23" s="65"/>
      <c r="BYY23" s="65"/>
      <c r="BYZ23" s="65"/>
      <c r="BZA23" s="65"/>
      <c r="BZB23" s="65"/>
      <c r="BZC23" s="65"/>
      <c r="BZD23" s="65"/>
      <c r="BZE23" s="65"/>
      <c r="BZF23" s="65"/>
      <c r="BZG23" s="65"/>
      <c r="BZH23" s="65"/>
      <c r="BZI23" s="65"/>
      <c r="BZJ23" s="65"/>
      <c r="BZK23" s="65"/>
      <c r="BZL23" s="65"/>
      <c r="BZM23" s="65"/>
      <c r="BZN23" s="65"/>
      <c r="BZO23" s="65"/>
      <c r="BZP23" s="65"/>
      <c r="BZQ23" s="65"/>
      <c r="BZR23" s="65"/>
      <c r="BZS23" s="65"/>
      <c r="BZT23" s="65"/>
      <c r="BZU23" s="65"/>
      <c r="BZV23" s="65"/>
      <c r="BZW23" s="65"/>
      <c r="BZX23" s="65"/>
      <c r="BZY23" s="65"/>
      <c r="BZZ23" s="65"/>
      <c r="CAA23" s="65"/>
      <c r="CAB23" s="65"/>
      <c r="CAC23" s="65"/>
      <c r="CAD23" s="65"/>
      <c r="CAE23" s="65"/>
      <c r="CAF23" s="65"/>
      <c r="CAG23" s="65"/>
      <c r="CAH23" s="65"/>
      <c r="CAI23" s="65"/>
      <c r="CAJ23" s="65"/>
      <c r="CAK23" s="65"/>
      <c r="CAL23" s="65"/>
      <c r="CAM23" s="65"/>
      <c r="CAN23" s="65"/>
      <c r="CAO23" s="65"/>
      <c r="CAP23" s="65"/>
      <c r="CAQ23" s="65"/>
      <c r="CAR23" s="65"/>
      <c r="CAS23" s="65"/>
      <c r="CAT23" s="65"/>
      <c r="CAU23" s="65"/>
      <c r="CAV23" s="65"/>
      <c r="CAW23" s="65"/>
      <c r="CAX23" s="65"/>
      <c r="CAY23" s="65"/>
      <c r="CAZ23" s="65"/>
      <c r="CBA23" s="65"/>
      <c r="CBB23" s="65"/>
      <c r="CBC23" s="65"/>
      <c r="CBD23" s="65"/>
      <c r="CBE23" s="65"/>
      <c r="CBF23" s="65"/>
      <c r="CBG23" s="65"/>
      <c r="CBH23" s="65"/>
      <c r="CBI23" s="65"/>
      <c r="CBJ23" s="65"/>
      <c r="CBK23" s="65"/>
      <c r="CBL23" s="65"/>
      <c r="CBM23" s="65"/>
      <c r="CBN23" s="65"/>
      <c r="CBO23" s="65"/>
      <c r="CBP23" s="65"/>
      <c r="CBQ23" s="65"/>
      <c r="CBR23" s="65"/>
      <c r="CBS23" s="65"/>
      <c r="CBT23" s="65"/>
      <c r="CBU23" s="65"/>
      <c r="CBV23" s="65"/>
      <c r="CBW23" s="65"/>
      <c r="CBX23" s="65"/>
      <c r="CBY23" s="65"/>
      <c r="CBZ23" s="65"/>
      <c r="CCA23" s="65"/>
      <c r="CCB23" s="65"/>
      <c r="CCC23" s="65"/>
      <c r="CCD23" s="65"/>
      <c r="CCE23" s="65"/>
      <c r="CCF23" s="65"/>
      <c r="CCG23" s="65"/>
      <c r="CCH23" s="65"/>
      <c r="CCI23" s="65"/>
      <c r="CCJ23" s="65"/>
      <c r="CCK23" s="65"/>
      <c r="CCL23" s="65"/>
      <c r="CCM23" s="65"/>
      <c r="CCN23" s="65"/>
      <c r="CCO23" s="65"/>
      <c r="CCP23" s="65"/>
      <c r="CCQ23" s="65"/>
      <c r="CCR23" s="65"/>
      <c r="CCS23" s="65"/>
      <c r="CCT23" s="65"/>
      <c r="CCU23" s="65"/>
      <c r="CCV23" s="65"/>
      <c r="CCW23" s="65"/>
      <c r="CCX23" s="65"/>
      <c r="CCY23" s="65"/>
      <c r="CCZ23" s="65"/>
      <c r="CDA23" s="65"/>
      <c r="CDB23" s="65"/>
      <c r="CDC23" s="65"/>
      <c r="CDD23" s="65"/>
      <c r="CDE23" s="65"/>
      <c r="CDF23" s="65"/>
      <c r="CDG23" s="65"/>
      <c r="CDH23" s="65"/>
      <c r="CDI23" s="65"/>
      <c r="CDJ23" s="65"/>
      <c r="CDK23" s="65"/>
      <c r="CDL23" s="65"/>
      <c r="CDM23" s="65"/>
      <c r="CDN23" s="65"/>
      <c r="CDO23" s="65"/>
      <c r="CDP23" s="65"/>
      <c r="CDQ23" s="65"/>
      <c r="CDR23" s="65"/>
      <c r="CDS23" s="65"/>
      <c r="CDT23" s="65"/>
      <c r="CDU23" s="65"/>
      <c r="CDV23" s="65"/>
      <c r="CDW23" s="65"/>
      <c r="CDX23" s="65"/>
      <c r="CDY23" s="65"/>
      <c r="CDZ23" s="65"/>
      <c r="CEA23" s="65"/>
      <c r="CEB23" s="65"/>
      <c r="CEC23" s="65"/>
      <c r="CED23" s="65"/>
      <c r="CEE23" s="65"/>
      <c r="CEF23" s="65"/>
      <c r="CEG23" s="65"/>
      <c r="CEH23" s="65"/>
      <c r="CEI23" s="65"/>
      <c r="CEJ23" s="65"/>
      <c r="CEK23" s="65"/>
      <c r="CEL23" s="65"/>
      <c r="CEM23" s="65"/>
      <c r="CEN23" s="65"/>
      <c r="CEO23" s="65"/>
      <c r="CEP23" s="65"/>
      <c r="CEQ23" s="65"/>
      <c r="CER23" s="65"/>
      <c r="CES23" s="65"/>
      <c r="CET23" s="65"/>
      <c r="CEU23" s="65"/>
      <c r="CEV23" s="65"/>
      <c r="CEW23" s="65"/>
      <c r="CEX23" s="65"/>
      <c r="CEY23" s="65"/>
      <c r="CEZ23" s="65"/>
      <c r="CFA23" s="65"/>
      <c r="CFB23" s="65"/>
      <c r="CFC23" s="65"/>
      <c r="CFD23" s="65"/>
      <c r="CFE23" s="65"/>
      <c r="CFF23" s="65"/>
      <c r="CFG23" s="65"/>
      <c r="CFH23" s="65"/>
      <c r="CFI23" s="65"/>
      <c r="CFJ23" s="65"/>
      <c r="CFK23" s="65"/>
      <c r="CFL23" s="65"/>
      <c r="CFM23" s="65"/>
      <c r="CFN23" s="65"/>
      <c r="CFO23" s="65"/>
      <c r="CFP23" s="65"/>
      <c r="CFQ23" s="65"/>
      <c r="CFR23" s="65"/>
      <c r="CFS23" s="65"/>
      <c r="CFT23" s="65"/>
      <c r="CFU23" s="65"/>
      <c r="CFV23" s="65"/>
      <c r="CFW23" s="65"/>
      <c r="CFX23" s="65"/>
      <c r="CFY23" s="65"/>
      <c r="CFZ23" s="65"/>
      <c r="CGA23" s="65"/>
      <c r="CGB23" s="65"/>
      <c r="CGC23" s="65"/>
      <c r="CGD23" s="65"/>
      <c r="CGE23" s="65"/>
      <c r="CGF23" s="65"/>
      <c r="CGG23" s="65"/>
      <c r="CGH23" s="65"/>
      <c r="CGI23" s="65"/>
      <c r="CGJ23" s="65"/>
      <c r="CGK23" s="65"/>
      <c r="CGL23" s="65"/>
      <c r="CGM23" s="65"/>
      <c r="CGN23" s="65"/>
      <c r="CGO23" s="65"/>
      <c r="CGP23" s="65"/>
      <c r="CGQ23" s="65"/>
      <c r="CGR23" s="65"/>
      <c r="CGS23" s="65"/>
      <c r="CGT23" s="65"/>
      <c r="CGU23" s="65"/>
      <c r="CGV23" s="65"/>
      <c r="CGW23" s="65"/>
      <c r="CGX23" s="65"/>
      <c r="CGY23" s="65"/>
      <c r="CGZ23" s="65"/>
      <c r="CHA23" s="65"/>
      <c r="CHB23" s="65"/>
      <c r="CHC23" s="65"/>
      <c r="CHD23" s="65"/>
      <c r="CHE23" s="65"/>
      <c r="CHF23" s="65"/>
      <c r="CHG23" s="65"/>
      <c r="CHH23" s="65"/>
      <c r="CHI23" s="65"/>
      <c r="CHJ23" s="65"/>
      <c r="CHK23" s="65"/>
      <c r="CHL23" s="65"/>
      <c r="CHM23" s="65"/>
      <c r="CHN23" s="65"/>
      <c r="CHO23" s="65"/>
      <c r="CHP23" s="65"/>
      <c r="CHQ23" s="65"/>
      <c r="CHR23" s="65"/>
      <c r="CHS23" s="65"/>
      <c r="CHT23" s="65"/>
      <c r="CHU23" s="65"/>
      <c r="CHV23" s="65"/>
      <c r="CHW23" s="65"/>
      <c r="CHX23" s="65"/>
      <c r="CHY23" s="65"/>
      <c r="CHZ23" s="65"/>
      <c r="CIA23" s="65"/>
      <c r="CIB23" s="65"/>
      <c r="CIC23" s="65"/>
      <c r="CID23" s="65"/>
      <c r="CIE23" s="65"/>
      <c r="CIF23" s="65"/>
      <c r="CIG23" s="65"/>
      <c r="CIH23" s="65"/>
      <c r="CII23" s="65"/>
      <c r="CIJ23" s="65"/>
      <c r="CIK23" s="65"/>
      <c r="CIL23" s="65"/>
      <c r="CIM23" s="65"/>
      <c r="CIN23" s="65"/>
      <c r="CIO23" s="65"/>
      <c r="CIP23" s="65"/>
      <c r="CIQ23" s="65"/>
      <c r="CIR23" s="65"/>
      <c r="CIS23" s="65"/>
      <c r="CIT23" s="65"/>
      <c r="CIU23" s="65"/>
      <c r="CIV23" s="65"/>
      <c r="CIW23" s="65"/>
      <c r="CIX23" s="65"/>
      <c r="CIY23" s="65"/>
      <c r="CIZ23" s="65"/>
      <c r="CJA23" s="65"/>
      <c r="CJB23" s="65"/>
      <c r="CJC23" s="65"/>
      <c r="CJD23" s="65"/>
      <c r="CJE23" s="65"/>
      <c r="CJF23" s="65"/>
      <c r="CJG23" s="65"/>
      <c r="CJH23" s="65"/>
      <c r="CJI23" s="65"/>
      <c r="CJJ23" s="65"/>
      <c r="CJK23" s="65"/>
      <c r="CJL23" s="65"/>
      <c r="CJM23" s="65"/>
      <c r="CJN23" s="65"/>
      <c r="CJO23" s="65"/>
      <c r="CJP23" s="65"/>
      <c r="CJQ23" s="65"/>
      <c r="CJR23" s="65"/>
      <c r="CJS23" s="65"/>
      <c r="CJT23" s="65"/>
      <c r="CJU23" s="65"/>
      <c r="CJV23" s="65"/>
      <c r="CJW23" s="65"/>
      <c r="CJX23" s="65"/>
      <c r="CJY23" s="65"/>
      <c r="CJZ23" s="65"/>
      <c r="CKA23" s="65"/>
      <c r="CKB23" s="65"/>
      <c r="CKC23" s="65"/>
      <c r="CKD23" s="65"/>
      <c r="CKE23" s="65"/>
      <c r="CKF23" s="65"/>
      <c r="CKG23" s="65"/>
      <c r="CKH23" s="65"/>
      <c r="CKI23" s="65"/>
      <c r="CKJ23" s="65"/>
      <c r="CKK23" s="65"/>
      <c r="CKL23" s="65"/>
      <c r="CKM23" s="65"/>
      <c r="CKN23" s="65"/>
      <c r="CKO23" s="65"/>
      <c r="CKP23" s="65"/>
      <c r="CKQ23" s="65"/>
      <c r="CKR23" s="65"/>
      <c r="CKS23" s="65"/>
      <c r="CKT23" s="65"/>
      <c r="CKU23" s="65"/>
      <c r="CKV23" s="65"/>
      <c r="CKW23" s="65"/>
      <c r="CKX23" s="65"/>
      <c r="CKY23" s="65"/>
      <c r="CKZ23" s="65"/>
      <c r="CLA23" s="65"/>
      <c r="CLB23" s="65"/>
      <c r="CLC23" s="65"/>
      <c r="CLD23" s="65"/>
      <c r="CLE23" s="65"/>
      <c r="CLF23" s="65"/>
      <c r="CLG23" s="65"/>
      <c r="CLH23" s="65"/>
      <c r="CLI23" s="65"/>
      <c r="CLJ23" s="65"/>
      <c r="CLK23" s="65"/>
      <c r="CLL23" s="65"/>
      <c r="CLM23" s="65"/>
      <c r="CLN23" s="65"/>
      <c r="CLO23" s="65"/>
      <c r="CLP23" s="65"/>
      <c r="CLQ23" s="65"/>
      <c r="CLR23" s="65"/>
      <c r="CLS23" s="65"/>
      <c r="CLT23" s="65"/>
      <c r="CLU23" s="65"/>
      <c r="CLV23" s="65"/>
      <c r="CLW23" s="65"/>
      <c r="CLX23" s="65"/>
      <c r="CLY23" s="65"/>
      <c r="CLZ23" s="65"/>
      <c r="CMA23" s="65"/>
      <c r="CMB23" s="65"/>
      <c r="CMC23" s="65"/>
      <c r="CMD23" s="65"/>
      <c r="CME23" s="65"/>
      <c r="CMF23" s="65"/>
      <c r="CMG23" s="65"/>
      <c r="CMH23" s="65"/>
      <c r="CMI23" s="65"/>
      <c r="CMJ23" s="65"/>
      <c r="CMK23" s="65"/>
      <c r="CML23" s="65"/>
      <c r="CMM23" s="65"/>
      <c r="CMN23" s="65"/>
      <c r="CMO23" s="65"/>
      <c r="CMP23" s="65"/>
      <c r="CMQ23" s="65"/>
      <c r="CMR23" s="65"/>
      <c r="CMS23" s="65"/>
      <c r="CMT23" s="65"/>
      <c r="CMU23" s="65"/>
      <c r="CMV23" s="65"/>
      <c r="CMW23" s="65"/>
      <c r="CMX23" s="65"/>
      <c r="CMY23" s="65"/>
      <c r="CMZ23" s="65"/>
      <c r="CNA23" s="65"/>
      <c r="CNB23" s="65"/>
      <c r="CNC23" s="65"/>
      <c r="CND23" s="65"/>
      <c r="CNE23" s="65"/>
      <c r="CNF23" s="65"/>
      <c r="CNG23" s="65"/>
      <c r="CNH23" s="65"/>
      <c r="CNI23" s="65"/>
      <c r="CNJ23" s="65"/>
      <c r="CNK23" s="65"/>
      <c r="CNL23" s="65"/>
      <c r="CNM23" s="65"/>
      <c r="CNN23" s="65"/>
      <c r="CNO23" s="65"/>
      <c r="CNP23" s="65"/>
      <c r="CNQ23" s="65"/>
      <c r="CNR23" s="65"/>
      <c r="CNS23" s="65"/>
      <c r="CNT23" s="65"/>
      <c r="CNU23" s="65"/>
      <c r="CNV23" s="65"/>
      <c r="CNW23" s="65"/>
      <c r="CNX23" s="65"/>
      <c r="CNY23" s="65"/>
      <c r="CNZ23" s="65"/>
      <c r="COA23" s="65"/>
      <c r="COB23" s="65"/>
      <c r="COC23" s="65"/>
      <c r="COD23" s="65"/>
      <c r="COE23" s="65"/>
      <c r="COF23" s="65"/>
      <c r="COG23" s="65"/>
      <c r="COH23" s="65"/>
      <c r="COI23" s="65"/>
      <c r="COJ23" s="65"/>
      <c r="COK23" s="65"/>
      <c r="COL23" s="65"/>
      <c r="COM23" s="65"/>
      <c r="CON23" s="65"/>
      <c r="COO23" s="65"/>
      <c r="COP23" s="65"/>
      <c r="COQ23" s="65"/>
      <c r="COR23" s="65"/>
      <c r="COS23" s="65"/>
      <c r="COT23" s="65"/>
      <c r="COU23" s="65"/>
      <c r="COV23" s="65"/>
      <c r="COW23" s="65"/>
      <c r="COX23" s="65"/>
      <c r="COY23" s="65"/>
      <c r="COZ23" s="65"/>
      <c r="CPA23" s="65"/>
      <c r="CPB23" s="65"/>
      <c r="CPC23" s="65"/>
      <c r="CPD23" s="65"/>
      <c r="CPE23" s="65"/>
      <c r="CPF23" s="65"/>
      <c r="CPG23" s="65"/>
      <c r="CPH23" s="65"/>
      <c r="CPI23" s="65"/>
      <c r="CPJ23" s="65"/>
      <c r="CPK23" s="65"/>
      <c r="CPL23" s="65"/>
      <c r="CPM23" s="65"/>
      <c r="CPN23" s="65"/>
      <c r="CPO23" s="65"/>
      <c r="CPP23" s="65"/>
      <c r="CPQ23" s="65"/>
      <c r="CPR23" s="65"/>
      <c r="CPS23" s="65"/>
      <c r="CPT23" s="65"/>
      <c r="CPU23" s="65"/>
      <c r="CPV23" s="65"/>
      <c r="CPW23" s="65"/>
      <c r="CPX23" s="65"/>
      <c r="CPY23" s="65"/>
      <c r="CPZ23" s="65"/>
      <c r="CQA23" s="65"/>
      <c r="CQB23" s="65"/>
      <c r="CQC23" s="65"/>
      <c r="CQD23" s="65"/>
      <c r="CQE23" s="65"/>
      <c r="CQF23" s="65"/>
      <c r="CQG23" s="65"/>
      <c r="CQH23" s="65"/>
      <c r="CQI23" s="65"/>
      <c r="CQJ23" s="65"/>
      <c r="CQK23" s="65"/>
      <c r="CQL23" s="65"/>
      <c r="CQM23" s="65"/>
      <c r="CQN23" s="65"/>
      <c r="CQO23" s="65"/>
      <c r="CQP23" s="65"/>
      <c r="CQQ23" s="65"/>
      <c r="CQR23" s="65"/>
      <c r="CQS23" s="65"/>
      <c r="CQT23" s="65"/>
      <c r="CQU23" s="65"/>
      <c r="CQV23" s="65"/>
      <c r="CQW23" s="65"/>
      <c r="CQX23" s="65"/>
      <c r="CQY23" s="65"/>
      <c r="CQZ23" s="65"/>
      <c r="CRA23" s="65"/>
      <c r="CRB23" s="65"/>
      <c r="CRC23" s="65"/>
      <c r="CRD23" s="65"/>
      <c r="CRE23" s="65"/>
      <c r="CRF23" s="65"/>
      <c r="CRG23" s="65"/>
      <c r="CRH23" s="65"/>
      <c r="CRI23" s="65"/>
      <c r="CRJ23" s="65"/>
      <c r="CRK23" s="65"/>
      <c r="CRL23" s="65"/>
      <c r="CRM23" s="65"/>
      <c r="CRN23" s="65"/>
      <c r="CRO23" s="65"/>
      <c r="CRP23" s="65"/>
      <c r="CRQ23" s="65"/>
      <c r="CRR23" s="65"/>
      <c r="CRS23" s="65"/>
      <c r="CRT23" s="65"/>
      <c r="CRU23" s="65"/>
      <c r="CRV23" s="65"/>
      <c r="CRW23" s="65"/>
      <c r="CRX23" s="65"/>
      <c r="CRY23" s="65"/>
      <c r="CRZ23" s="65"/>
      <c r="CSA23" s="65"/>
      <c r="CSB23" s="65"/>
      <c r="CSC23" s="65"/>
      <c r="CSD23" s="65"/>
      <c r="CSE23" s="65"/>
      <c r="CSF23" s="65"/>
      <c r="CSG23" s="65"/>
      <c r="CSH23" s="65"/>
      <c r="CSI23" s="65"/>
      <c r="CSJ23" s="65"/>
      <c r="CSK23" s="65"/>
      <c r="CSL23" s="65"/>
      <c r="CSM23" s="65"/>
      <c r="CSN23" s="65"/>
      <c r="CSO23" s="65"/>
      <c r="CSP23" s="65"/>
      <c r="CSQ23" s="65"/>
      <c r="CSR23" s="65"/>
      <c r="CSS23" s="65"/>
      <c r="CST23" s="65"/>
      <c r="CSU23" s="65"/>
      <c r="CSV23" s="65"/>
      <c r="CSW23" s="65"/>
      <c r="CSX23" s="65"/>
      <c r="CSY23" s="65"/>
      <c r="CSZ23" s="65"/>
      <c r="CTA23" s="65"/>
      <c r="CTB23" s="65"/>
      <c r="CTC23" s="65"/>
      <c r="CTD23" s="65"/>
      <c r="CTE23" s="65"/>
      <c r="CTF23" s="65"/>
      <c r="CTG23" s="65"/>
      <c r="CTH23" s="65"/>
      <c r="CTI23" s="65"/>
      <c r="CTJ23" s="65"/>
      <c r="CTK23" s="65"/>
      <c r="CTL23" s="65"/>
      <c r="CTM23" s="65"/>
      <c r="CTN23" s="65"/>
      <c r="CTO23" s="65"/>
      <c r="CTP23" s="65"/>
      <c r="CTQ23" s="65"/>
      <c r="CTR23" s="65"/>
      <c r="CTS23" s="65"/>
      <c r="CTT23" s="65"/>
      <c r="CTU23" s="65"/>
      <c r="CTV23" s="65"/>
      <c r="CTW23" s="65"/>
      <c r="CTX23" s="65"/>
      <c r="CTY23" s="65"/>
      <c r="CTZ23" s="65"/>
      <c r="CUA23" s="65"/>
      <c r="CUB23" s="65"/>
      <c r="CUC23" s="65"/>
      <c r="CUD23" s="65"/>
      <c r="CUE23" s="65"/>
      <c r="CUF23" s="65"/>
      <c r="CUG23" s="65"/>
      <c r="CUH23" s="65"/>
      <c r="CUI23" s="65"/>
      <c r="CUJ23" s="65"/>
      <c r="CUK23" s="65"/>
      <c r="CUL23" s="65"/>
      <c r="CUM23" s="65"/>
      <c r="CUN23" s="65"/>
      <c r="CUO23" s="65"/>
      <c r="CUP23" s="65"/>
      <c r="CUQ23" s="65"/>
      <c r="CUR23" s="65"/>
      <c r="CUS23" s="65"/>
      <c r="CUT23" s="65"/>
      <c r="CUU23" s="65"/>
      <c r="CUV23" s="65"/>
      <c r="CUW23" s="65"/>
      <c r="CUX23" s="65"/>
      <c r="CUY23" s="65"/>
      <c r="CUZ23" s="65"/>
      <c r="CVA23" s="65"/>
      <c r="CVB23" s="65"/>
      <c r="CVC23" s="65"/>
      <c r="CVD23" s="65"/>
      <c r="CVE23" s="65"/>
      <c r="CVF23" s="65"/>
      <c r="CVG23" s="65"/>
      <c r="CVH23" s="65"/>
      <c r="CVI23" s="65"/>
      <c r="CVJ23" s="65"/>
      <c r="CVK23" s="65"/>
      <c r="CVL23" s="65"/>
      <c r="CVM23" s="65"/>
      <c r="CVN23" s="65"/>
      <c r="CVO23" s="65"/>
      <c r="CVP23" s="65"/>
      <c r="CVQ23" s="65"/>
      <c r="CVR23" s="65"/>
      <c r="CVS23" s="65"/>
      <c r="CVT23" s="65"/>
      <c r="CVU23" s="65"/>
      <c r="CVV23" s="65"/>
      <c r="CVW23" s="65"/>
      <c r="CVX23" s="65"/>
      <c r="CVY23" s="65"/>
      <c r="CVZ23" s="65"/>
      <c r="CWA23" s="65"/>
      <c r="CWB23" s="65"/>
      <c r="CWC23" s="65"/>
      <c r="CWD23" s="65"/>
      <c r="CWE23" s="65"/>
      <c r="CWF23" s="65"/>
      <c r="CWG23" s="65"/>
      <c r="CWH23" s="65"/>
      <c r="CWI23" s="65"/>
      <c r="CWJ23" s="65"/>
      <c r="CWK23" s="65"/>
      <c r="CWL23" s="65"/>
      <c r="CWM23" s="65"/>
      <c r="CWN23" s="65"/>
      <c r="CWO23" s="65"/>
      <c r="CWP23" s="65"/>
      <c r="CWQ23" s="65"/>
      <c r="CWR23" s="65"/>
      <c r="CWS23" s="65"/>
      <c r="CWT23" s="65"/>
      <c r="CWU23" s="65"/>
      <c r="CWV23" s="65"/>
      <c r="CWW23" s="65"/>
      <c r="CWX23" s="65"/>
      <c r="CWY23" s="65"/>
      <c r="CWZ23" s="65"/>
      <c r="CXA23" s="65"/>
      <c r="CXB23" s="65"/>
      <c r="CXC23" s="65"/>
      <c r="CXD23" s="65"/>
      <c r="CXE23" s="65"/>
      <c r="CXF23" s="65"/>
      <c r="CXG23" s="65"/>
      <c r="CXH23" s="65"/>
      <c r="CXI23" s="65"/>
      <c r="CXJ23" s="65"/>
      <c r="CXK23" s="65"/>
      <c r="CXL23" s="65"/>
      <c r="CXM23" s="65"/>
      <c r="CXN23" s="65"/>
      <c r="CXO23" s="65"/>
      <c r="CXP23" s="65"/>
      <c r="CXQ23" s="65"/>
      <c r="CXR23" s="65"/>
      <c r="CXS23" s="65"/>
      <c r="CXT23" s="65"/>
      <c r="CXU23" s="65"/>
      <c r="CXV23" s="65"/>
      <c r="CXW23" s="65"/>
      <c r="CXX23" s="65"/>
      <c r="CXY23" s="65"/>
      <c r="CXZ23" s="65"/>
      <c r="CYA23" s="65"/>
      <c r="CYB23" s="65"/>
      <c r="CYC23" s="65"/>
      <c r="CYD23" s="65"/>
      <c r="CYE23" s="65"/>
      <c r="CYF23" s="65"/>
      <c r="CYG23" s="65"/>
      <c r="CYH23" s="65"/>
      <c r="CYI23" s="65"/>
      <c r="CYJ23" s="65"/>
      <c r="CYK23" s="65"/>
      <c r="CYL23" s="65"/>
      <c r="CYM23" s="65"/>
      <c r="CYN23" s="65"/>
      <c r="CYO23" s="65"/>
      <c r="CYP23" s="65"/>
      <c r="CYQ23" s="65"/>
      <c r="CYR23" s="65"/>
      <c r="CYS23" s="65"/>
      <c r="CYT23" s="65"/>
      <c r="CYU23" s="65"/>
      <c r="CYV23" s="65"/>
      <c r="CYW23" s="65"/>
      <c r="CYX23" s="65"/>
      <c r="CYY23" s="65"/>
      <c r="CYZ23" s="65"/>
      <c r="CZA23" s="65"/>
      <c r="CZB23" s="65"/>
      <c r="CZC23" s="65"/>
      <c r="CZD23" s="65"/>
      <c r="CZE23" s="65"/>
      <c r="CZF23" s="65"/>
      <c r="CZG23" s="65"/>
      <c r="CZH23" s="65"/>
      <c r="CZI23" s="65"/>
      <c r="CZJ23" s="65"/>
      <c r="CZK23" s="65"/>
      <c r="CZL23" s="65"/>
      <c r="CZM23" s="65"/>
      <c r="CZN23" s="65"/>
      <c r="CZO23" s="65"/>
      <c r="CZP23" s="65"/>
      <c r="CZQ23" s="65"/>
      <c r="CZR23" s="65"/>
      <c r="CZS23" s="65"/>
      <c r="CZT23" s="65"/>
      <c r="CZU23" s="65"/>
      <c r="CZV23" s="65"/>
      <c r="CZW23" s="65"/>
      <c r="CZX23" s="65"/>
      <c r="CZY23" s="65"/>
      <c r="CZZ23" s="65"/>
      <c r="DAA23" s="65"/>
      <c r="DAB23" s="65"/>
      <c r="DAC23" s="65"/>
      <c r="DAD23" s="65"/>
      <c r="DAE23" s="65"/>
      <c r="DAF23" s="65"/>
      <c r="DAG23" s="65"/>
      <c r="DAH23" s="65"/>
      <c r="DAI23" s="65"/>
      <c r="DAJ23" s="65"/>
      <c r="DAK23" s="65"/>
      <c r="DAL23" s="65"/>
      <c r="DAM23" s="65"/>
      <c r="DAN23" s="65"/>
      <c r="DAO23" s="65"/>
      <c r="DAP23" s="65"/>
      <c r="DAQ23" s="65"/>
      <c r="DAR23" s="65"/>
      <c r="DAS23" s="65"/>
      <c r="DAT23" s="65"/>
      <c r="DAU23" s="65"/>
      <c r="DAV23" s="65"/>
      <c r="DAW23" s="65"/>
      <c r="DAX23" s="65"/>
      <c r="DAY23" s="65"/>
      <c r="DAZ23" s="65"/>
      <c r="DBA23" s="65"/>
      <c r="DBB23" s="65"/>
      <c r="DBC23" s="65"/>
      <c r="DBD23" s="65"/>
      <c r="DBE23" s="65"/>
      <c r="DBF23" s="65"/>
      <c r="DBG23" s="65"/>
      <c r="DBH23" s="65"/>
      <c r="DBI23" s="65"/>
      <c r="DBJ23" s="65"/>
      <c r="DBK23" s="65"/>
      <c r="DBL23" s="65"/>
      <c r="DBM23" s="65"/>
      <c r="DBN23" s="65"/>
      <c r="DBO23" s="65"/>
      <c r="DBP23" s="65"/>
      <c r="DBQ23" s="65"/>
      <c r="DBR23" s="65"/>
      <c r="DBS23" s="65"/>
      <c r="DBT23" s="65"/>
      <c r="DBU23" s="65"/>
      <c r="DBV23" s="65"/>
      <c r="DBW23" s="65"/>
      <c r="DBX23" s="65"/>
      <c r="DBY23" s="65"/>
      <c r="DBZ23" s="65"/>
      <c r="DCA23" s="65"/>
      <c r="DCB23" s="65"/>
      <c r="DCC23" s="65"/>
      <c r="DCD23" s="65"/>
      <c r="DCE23" s="65"/>
      <c r="DCF23" s="65"/>
      <c r="DCG23" s="65"/>
      <c r="DCH23" s="65"/>
      <c r="DCI23" s="65"/>
      <c r="DCJ23" s="65"/>
      <c r="DCK23" s="65"/>
      <c r="DCL23" s="65"/>
      <c r="DCM23" s="65"/>
      <c r="DCN23" s="65"/>
      <c r="DCO23" s="65"/>
      <c r="DCP23" s="65"/>
      <c r="DCQ23" s="65"/>
      <c r="DCR23" s="65"/>
      <c r="DCS23" s="65"/>
      <c r="DCT23" s="65"/>
      <c r="DCU23" s="65"/>
      <c r="DCV23" s="65"/>
      <c r="DCW23" s="65"/>
      <c r="DCX23" s="65"/>
      <c r="DCY23" s="65"/>
      <c r="DCZ23" s="65"/>
      <c r="DDA23" s="65"/>
      <c r="DDB23" s="65"/>
      <c r="DDC23" s="65"/>
      <c r="DDD23" s="65"/>
      <c r="DDE23" s="65"/>
      <c r="DDF23" s="65"/>
      <c r="DDG23" s="65"/>
      <c r="DDH23" s="65"/>
      <c r="DDI23" s="65"/>
      <c r="DDJ23" s="65"/>
      <c r="DDK23" s="65"/>
      <c r="DDL23" s="65"/>
      <c r="DDM23" s="65"/>
      <c r="DDN23" s="65"/>
      <c r="DDO23" s="65"/>
      <c r="DDP23" s="65"/>
      <c r="DDQ23" s="65"/>
      <c r="DDR23" s="65"/>
      <c r="DDS23" s="65"/>
      <c r="DDT23" s="65"/>
      <c r="DDU23" s="65"/>
      <c r="DDV23" s="65"/>
      <c r="DDW23" s="65"/>
      <c r="DDX23" s="65"/>
      <c r="DDY23" s="65"/>
      <c r="DDZ23" s="65"/>
      <c r="DEA23" s="65"/>
      <c r="DEB23" s="65"/>
      <c r="DEC23" s="65"/>
      <c r="DED23" s="65"/>
      <c r="DEE23" s="65"/>
      <c r="DEF23" s="65"/>
      <c r="DEG23" s="65"/>
      <c r="DEH23" s="65"/>
      <c r="DEI23" s="65"/>
      <c r="DEJ23" s="65"/>
      <c r="DEK23" s="65"/>
      <c r="DEL23" s="65"/>
      <c r="DEM23" s="65"/>
      <c r="DEN23" s="65"/>
      <c r="DEO23" s="65"/>
      <c r="DEP23" s="65"/>
      <c r="DEQ23" s="65"/>
      <c r="DER23" s="65"/>
      <c r="DES23" s="65"/>
      <c r="DET23" s="65"/>
      <c r="DEU23" s="65"/>
      <c r="DEV23" s="65"/>
      <c r="DEW23" s="65"/>
      <c r="DEX23" s="65"/>
      <c r="DEY23" s="65"/>
      <c r="DEZ23" s="65"/>
      <c r="DFA23" s="65"/>
      <c r="DFB23" s="65"/>
      <c r="DFC23" s="65"/>
      <c r="DFD23" s="65"/>
      <c r="DFE23" s="65"/>
      <c r="DFF23" s="65"/>
      <c r="DFG23" s="65"/>
      <c r="DFH23" s="65"/>
      <c r="DFI23" s="65"/>
      <c r="DFJ23" s="65"/>
      <c r="DFK23" s="65"/>
      <c r="DFL23" s="65"/>
      <c r="DFM23" s="65"/>
      <c r="DFN23" s="65"/>
      <c r="DFO23" s="65"/>
      <c r="DFP23" s="65"/>
      <c r="DFQ23" s="65"/>
      <c r="DFR23" s="65"/>
      <c r="DFS23" s="65"/>
      <c r="DFT23" s="65"/>
      <c r="DFU23" s="65"/>
      <c r="DFV23" s="65"/>
      <c r="DFW23" s="65"/>
      <c r="DFX23" s="65"/>
      <c r="DFY23" s="65"/>
      <c r="DFZ23" s="65"/>
      <c r="DGA23" s="65"/>
      <c r="DGB23" s="65"/>
      <c r="DGC23" s="65"/>
      <c r="DGD23" s="65"/>
      <c r="DGE23" s="65"/>
      <c r="DGF23" s="65"/>
      <c r="DGG23" s="65"/>
      <c r="DGH23" s="65"/>
      <c r="DGI23" s="65"/>
      <c r="DGJ23" s="65"/>
      <c r="DGK23" s="65"/>
      <c r="DGL23" s="65"/>
      <c r="DGM23" s="65"/>
      <c r="DGN23" s="65"/>
      <c r="DGO23" s="65"/>
      <c r="DGP23" s="65"/>
      <c r="DGQ23" s="65"/>
      <c r="DGR23" s="65"/>
      <c r="DGS23" s="65"/>
      <c r="DGT23" s="65"/>
      <c r="DGU23" s="65"/>
      <c r="DGV23" s="65"/>
      <c r="DGW23" s="65"/>
      <c r="DGX23" s="65"/>
      <c r="DGY23" s="65"/>
      <c r="DGZ23" s="65"/>
      <c r="DHA23" s="65"/>
      <c r="DHB23" s="65"/>
      <c r="DHC23" s="65"/>
      <c r="DHD23" s="65"/>
      <c r="DHE23" s="65"/>
      <c r="DHF23" s="65"/>
      <c r="DHG23" s="65"/>
      <c r="DHH23" s="65"/>
      <c r="DHI23" s="65"/>
      <c r="DHJ23" s="65"/>
      <c r="DHK23" s="65"/>
      <c r="DHL23" s="65"/>
      <c r="DHM23" s="65"/>
      <c r="DHN23" s="65"/>
      <c r="DHO23" s="65"/>
      <c r="DHP23" s="65"/>
      <c r="DHQ23" s="65"/>
      <c r="DHR23" s="65"/>
      <c r="DHS23" s="65"/>
      <c r="DHT23" s="65"/>
      <c r="DHU23" s="65"/>
      <c r="DHV23" s="65"/>
      <c r="DHW23" s="65"/>
      <c r="DHX23" s="65"/>
      <c r="DHY23" s="65"/>
      <c r="DHZ23" s="65"/>
      <c r="DIA23" s="65"/>
      <c r="DIB23" s="65"/>
      <c r="DIC23" s="65"/>
      <c r="DID23" s="65"/>
      <c r="DIE23" s="65"/>
      <c r="DIF23" s="65"/>
      <c r="DIG23" s="65"/>
      <c r="DIH23" s="65"/>
      <c r="DII23" s="65"/>
      <c r="DIJ23" s="65"/>
      <c r="DIK23" s="65"/>
      <c r="DIL23" s="65"/>
      <c r="DIM23" s="65"/>
      <c r="DIN23" s="65"/>
      <c r="DIO23" s="65"/>
      <c r="DIP23" s="65"/>
      <c r="DIQ23" s="65"/>
      <c r="DIR23" s="65"/>
      <c r="DIS23" s="65"/>
      <c r="DIT23" s="65"/>
      <c r="DIU23" s="65"/>
      <c r="DIV23" s="65"/>
      <c r="DIW23" s="65"/>
      <c r="DIX23" s="65"/>
      <c r="DIY23" s="65"/>
      <c r="DIZ23" s="65"/>
      <c r="DJA23" s="65"/>
      <c r="DJB23" s="65"/>
      <c r="DJC23" s="65"/>
      <c r="DJD23" s="65"/>
      <c r="DJE23" s="65"/>
      <c r="DJF23" s="65"/>
      <c r="DJG23" s="65"/>
      <c r="DJH23" s="65"/>
      <c r="DJI23" s="65"/>
      <c r="DJJ23" s="65"/>
      <c r="DJK23" s="65"/>
      <c r="DJL23" s="65"/>
      <c r="DJM23" s="65"/>
      <c r="DJN23" s="65"/>
      <c r="DJO23" s="65"/>
      <c r="DJP23" s="65"/>
      <c r="DJQ23" s="65"/>
      <c r="DJR23" s="65"/>
      <c r="DJS23" s="65"/>
      <c r="DJT23" s="65"/>
      <c r="DJU23" s="65"/>
      <c r="DJV23" s="65"/>
      <c r="DJW23" s="65"/>
      <c r="DJX23" s="65"/>
      <c r="DJY23" s="65"/>
      <c r="DJZ23" s="65"/>
      <c r="DKA23" s="65"/>
      <c r="DKB23" s="65"/>
      <c r="DKC23" s="65"/>
      <c r="DKD23" s="65"/>
      <c r="DKE23" s="65"/>
      <c r="DKF23" s="65"/>
      <c r="DKG23" s="65"/>
      <c r="DKH23" s="65"/>
      <c r="DKI23" s="65"/>
      <c r="DKJ23" s="65"/>
      <c r="DKK23" s="65"/>
      <c r="DKL23" s="65"/>
      <c r="DKM23" s="65"/>
      <c r="DKN23" s="65"/>
      <c r="DKO23" s="65"/>
      <c r="DKP23" s="65"/>
      <c r="DKQ23" s="65"/>
      <c r="DKR23" s="65"/>
      <c r="DKS23" s="65"/>
      <c r="DKT23" s="65"/>
      <c r="DKU23" s="65"/>
      <c r="DKV23" s="65"/>
      <c r="DKW23" s="65"/>
      <c r="DKX23" s="65"/>
      <c r="DKY23" s="65"/>
      <c r="DKZ23" s="65"/>
      <c r="DLA23" s="65"/>
      <c r="DLB23" s="65"/>
      <c r="DLC23" s="65"/>
      <c r="DLD23" s="65"/>
      <c r="DLE23" s="65"/>
      <c r="DLF23" s="65"/>
      <c r="DLG23" s="65"/>
      <c r="DLH23" s="65"/>
      <c r="DLI23" s="65"/>
      <c r="DLJ23" s="65"/>
      <c r="DLK23" s="65"/>
      <c r="DLL23" s="65"/>
      <c r="DLM23" s="65"/>
      <c r="DLN23" s="65"/>
      <c r="DLO23" s="65"/>
      <c r="DLP23" s="65"/>
      <c r="DLQ23" s="65"/>
      <c r="DLR23" s="65"/>
      <c r="DLS23" s="65"/>
      <c r="DLT23" s="65"/>
      <c r="DLU23" s="65"/>
      <c r="DLV23" s="65"/>
      <c r="DLW23" s="65"/>
      <c r="DLX23" s="65"/>
      <c r="DLY23" s="65"/>
      <c r="DLZ23" s="65"/>
      <c r="DMA23" s="65"/>
      <c r="DMB23" s="65"/>
      <c r="DMC23" s="65"/>
      <c r="DMD23" s="65"/>
      <c r="DME23" s="65"/>
      <c r="DMF23" s="65"/>
      <c r="DMG23" s="65"/>
      <c r="DMH23" s="65"/>
      <c r="DMI23" s="65"/>
      <c r="DMJ23" s="65"/>
      <c r="DMK23" s="65"/>
      <c r="DML23" s="65"/>
      <c r="DMM23" s="65"/>
      <c r="DMN23" s="65"/>
      <c r="DMO23" s="65"/>
      <c r="DMP23" s="65"/>
      <c r="DMQ23" s="65"/>
      <c r="DMR23" s="65"/>
      <c r="DMS23" s="65"/>
      <c r="DMT23" s="65"/>
      <c r="DMU23" s="65"/>
      <c r="DMV23" s="65"/>
      <c r="DMW23" s="65"/>
      <c r="DMX23" s="65"/>
      <c r="DMY23" s="65"/>
      <c r="DMZ23" s="65"/>
      <c r="DNA23" s="65"/>
      <c r="DNB23" s="65"/>
      <c r="DNC23" s="65"/>
      <c r="DND23" s="65"/>
      <c r="DNE23" s="65"/>
      <c r="DNF23" s="65"/>
      <c r="DNG23" s="65"/>
      <c r="DNH23" s="65"/>
      <c r="DNI23" s="65"/>
      <c r="DNJ23" s="65"/>
      <c r="DNK23" s="65"/>
      <c r="DNL23" s="65"/>
      <c r="DNM23" s="65"/>
      <c r="DNN23" s="65"/>
      <c r="DNO23" s="65"/>
      <c r="DNP23" s="65"/>
      <c r="DNQ23" s="65"/>
      <c r="DNR23" s="65"/>
      <c r="DNS23" s="65"/>
      <c r="DNT23" s="65"/>
      <c r="DNU23" s="65"/>
      <c r="DNV23" s="65"/>
      <c r="DNW23" s="65"/>
      <c r="DNX23" s="65"/>
      <c r="DNY23" s="65"/>
      <c r="DNZ23" s="65"/>
      <c r="DOA23" s="65"/>
      <c r="DOB23" s="65"/>
      <c r="DOC23" s="65"/>
      <c r="DOD23" s="65"/>
      <c r="DOE23" s="65"/>
      <c r="DOF23" s="65"/>
      <c r="DOG23" s="65"/>
      <c r="DOH23" s="65"/>
      <c r="DOI23" s="65"/>
      <c r="DOJ23" s="65"/>
      <c r="DOK23" s="65"/>
      <c r="DOL23" s="65"/>
      <c r="DOM23" s="65"/>
      <c r="DON23" s="65"/>
      <c r="DOO23" s="65"/>
      <c r="DOP23" s="65"/>
      <c r="DOQ23" s="65"/>
      <c r="DOR23" s="65"/>
      <c r="DOS23" s="65"/>
      <c r="DOT23" s="65"/>
      <c r="DOU23" s="65"/>
      <c r="DOV23" s="65"/>
      <c r="DOW23" s="65"/>
      <c r="DOX23" s="65"/>
      <c r="DOY23" s="65"/>
      <c r="DOZ23" s="65"/>
      <c r="DPA23" s="65"/>
      <c r="DPB23" s="65"/>
      <c r="DPC23" s="65"/>
      <c r="DPD23" s="65"/>
      <c r="DPE23" s="65"/>
      <c r="DPF23" s="65"/>
      <c r="DPG23" s="65"/>
      <c r="DPH23" s="65"/>
      <c r="DPI23" s="65"/>
      <c r="DPJ23" s="65"/>
      <c r="DPK23" s="65"/>
      <c r="DPL23" s="65"/>
      <c r="DPM23" s="65"/>
      <c r="DPN23" s="65"/>
      <c r="DPO23" s="65"/>
      <c r="DPP23" s="65"/>
      <c r="DPQ23" s="65"/>
      <c r="DPR23" s="65"/>
      <c r="DPS23" s="65"/>
      <c r="DPT23" s="65"/>
      <c r="DPU23" s="65"/>
      <c r="DPV23" s="65"/>
      <c r="DPW23" s="65"/>
      <c r="DPX23" s="65"/>
      <c r="DPY23" s="65"/>
      <c r="DPZ23" s="65"/>
      <c r="DQA23" s="65"/>
      <c r="DQB23" s="65"/>
      <c r="DQC23" s="65"/>
      <c r="DQD23" s="65"/>
      <c r="DQE23" s="65"/>
      <c r="DQF23" s="65"/>
      <c r="DQG23" s="65"/>
      <c r="DQH23" s="65"/>
      <c r="DQI23" s="65"/>
      <c r="DQJ23" s="65"/>
      <c r="DQK23" s="65"/>
      <c r="DQL23" s="65"/>
      <c r="DQM23" s="65"/>
      <c r="DQN23" s="65"/>
      <c r="DQO23" s="65"/>
      <c r="DQP23" s="65"/>
      <c r="DQQ23" s="65"/>
      <c r="DQR23" s="65"/>
      <c r="DQS23" s="65"/>
      <c r="DQT23" s="65"/>
      <c r="DQU23" s="65"/>
      <c r="DQV23" s="65"/>
      <c r="DQW23" s="65"/>
      <c r="DQX23" s="65"/>
      <c r="DQY23" s="65"/>
      <c r="DQZ23" s="65"/>
      <c r="DRA23" s="65"/>
      <c r="DRB23" s="65"/>
      <c r="DRC23" s="65"/>
      <c r="DRD23" s="65"/>
      <c r="DRE23" s="65"/>
      <c r="DRF23" s="65"/>
      <c r="DRG23" s="65"/>
      <c r="DRH23" s="65"/>
      <c r="DRI23" s="65"/>
      <c r="DRJ23" s="65"/>
      <c r="DRK23" s="65"/>
      <c r="DRL23" s="65"/>
      <c r="DRM23" s="65"/>
      <c r="DRN23" s="65"/>
      <c r="DRO23" s="65"/>
      <c r="DRP23" s="65"/>
      <c r="DRQ23" s="65"/>
      <c r="DRR23" s="65"/>
      <c r="DRS23" s="65"/>
      <c r="DRT23" s="65"/>
      <c r="DRU23" s="65"/>
      <c r="DRV23" s="65"/>
      <c r="DRW23" s="65"/>
      <c r="DRX23" s="65"/>
      <c r="DRY23" s="65"/>
      <c r="DRZ23" s="65"/>
      <c r="DSA23" s="65"/>
      <c r="DSB23" s="65"/>
      <c r="DSC23" s="65"/>
      <c r="DSD23" s="65"/>
      <c r="DSE23" s="65"/>
      <c r="DSF23" s="65"/>
      <c r="DSG23" s="65"/>
      <c r="DSH23" s="65"/>
      <c r="DSI23" s="65"/>
      <c r="DSJ23" s="65"/>
      <c r="DSK23" s="65"/>
      <c r="DSL23" s="65"/>
      <c r="DSM23" s="65"/>
      <c r="DSN23" s="65"/>
      <c r="DSO23" s="65"/>
      <c r="DSP23" s="65"/>
      <c r="DSQ23" s="65"/>
      <c r="DSR23" s="65"/>
      <c r="DSS23" s="65"/>
      <c r="DST23" s="65"/>
      <c r="DSU23" s="65"/>
      <c r="DSV23" s="65"/>
      <c r="DSW23" s="65"/>
      <c r="DSX23" s="65"/>
      <c r="DSY23" s="65"/>
      <c r="DSZ23" s="65"/>
      <c r="DTA23" s="65"/>
      <c r="DTB23" s="65"/>
      <c r="DTC23" s="65"/>
      <c r="DTD23" s="65"/>
      <c r="DTE23" s="65"/>
      <c r="DTF23" s="65"/>
      <c r="DTG23" s="65"/>
      <c r="DTH23" s="65"/>
      <c r="DTI23" s="65"/>
      <c r="DTJ23" s="65"/>
      <c r="DTK23" s="65"/>
      <c r="DTL23" s="65"/>
      <c r="DTM23" s="65"/>
      <c r="DTN23" s="65"/>
      <c r="DTO23" s="65"/>
      <c r="DTP23" s="65"/>
      <c r="DTQ23" s="65"/>
      <c r="DTR23" s="65"/>
      <c r="DTS23" s="65"/>
      <c r="DTT23" s="65"/>
      <c r="DTU23" s="65"/>
      <c r="DTV23" s="65"/>
      <c r="DTW23" s="65"/>
      <c r="DTX23" s="65"/>
      <c r="DTY23" s="65"/>
      <c r="DTZ23" s="65"/>
      <c r="DUA23" s="65"/>
      <c r="DUB23" s="65"/>
      <c r="DUC23" s="65"/>
      <c r="DUD23" s="65"/>
      <c r="DUE23" s="65"/>
      <c r="DUF23" s="65"/>
      <c r="DUG23" s="65"/>
      <c r="DUH23" s="65"/>
      <c r="DUI23" s="65"/>
      <c r="DUJ23" s="65"/>
      <c r="DUK23" s="65"/>
      <c r="DUL23" s="65"/>
      <c r="DUM23" s="65"/>
      <c r="DUN23" s="65"/>
      <c r="DUO23" s="65"/>
      <c r="DUP23" s="65"/>
      <c r="DUQ23" s="65"/>
      <c r="DUR23" s="65"/>
      <c r="DUS23" s="65"/>
      <c r="DUT23" s="65"/>
      <c r="DUU23" s="65"/>
      <c r="DUV23" s="65"/>
      <c r="DUW23" s="65"/>
      <c r="DUX23" s="65"/>
      <c r="DUY23" s="65"/>
      <c r="DUZ23" s="65"/>
      <c r="DVA23" s="65"/>
      <c r="DVB23" s="65"/>
      <c r="DVC23" s="65"/>
      <c r="DVD23" s="65"/>
      <c r="DVE23" s="65"/>
      <c r="DVF23" s="65"/>
      <c r="DVG23" s="65"/>
      <c r="DVH23" s="65"/>
      <c r="DVI23" s="65"/>
      <c r="DVJ23" s="65"/>
      <c r="DVK23" s="65"/>
      <c r="DVL23" s="65"/>
      <c r="DVM23" s="65"/>
      <c r="DVN23" s="65"/>
      <c r="DVO23" s="65"/>
      <c r="DVP23" s="65"/>
      <c r="DVQ23" s="65"/>
      <c r="DVR23" s="65"/>
      <c r="DVS23" s="65"/>
      <c r="DVT23" s="65"/>
      <c r="DVU23" s="65"/>
      <c r="DVV23" s="65"/>
      <c r="DVW23" s="65"/>
      <c r="DVX23" s="65"/>
      <c r="DVY23" s="65"/>
      <c r="DVZ23" s="65"/>
      <c r="DWA23" s="65"/>
      <c r="DWB23" s="65"/>
      <c r="DWC23" s="65"/>
      <c r="DWD23" s="65"/>
      <c r="DWE23" s="65"/>
      <c r="DWF23" s="65"/>
      <c r="DWG23" s="65"/>
      <c r="DWH23" s="65"/>
      <c r="DWI23" s="65"/>
      <c r="DWJ23" s="65"/>
      <c r="DWK23" s="65"/>
      <c r="DWL23" s="65"/>
      <c r="DWM23" s="65"/>
      <c r="DWN23" s="65"/>
      <c r="DWO23" s="65"/>
      <c r="DWP23" s="65"/>
      <c r="DWQ23" s="65"/>
      <c r="DWR23" s="65"/>
      <c r="DWS23" s="65"/>
      <c r="DWT23" s="65"/>
      <c r="DWU23" s="65"/>
      <c r="DWV23" s="65"/>
      <c r="DWW23" s="65"/>
      <c r="DWX23" s="65"/>
      <c r="DWY23" s="65"/>
      <c r="DWZ23" s="65"/>
      <c r="DXA23" s="65"/>
      <c r="DXB23" s="65"/>
      <c r="DXC23" s="65"/>
      <c r="DXD23" s="65"/>
      <c r="DXE23" s="65"/>
      <c r="DXF23" s="65"/>
      <c r="DXG23" s="65"/>
      <c r="DXH23" s="65"/>
      <c r="DXI23" s="65"/>
      <c r="DXJ23" s="65"/>
      <c r="DXK23" s="65"/>
      <c r="DXL23" s="65"/>
      <c r="DXM23" s="65"/>
      <c r="DXN23" s="65"/>
      <c r="DXO23" s="65"/>
      <c r="DXP23" s="65"/>
      <c r="DXQ23" s="65"/>
      <c r="DXR23" s="65"/>
      <c r="DXS23" s="65"/>
      <c r="DXT23" s="65"/>
      <c r="DXU23" s="65"/>
      <c r="DXV23" s="65"/>
      <c r="DXW23" s="65"/>
      <c r="DXX23" s="65"/>
      <c r="DXY23" s="65"/>
      <c r="DXZ23" s="65"/>
      <c r="DYA23" s="65"/>
      <c r="DYB23" s="65"/>
      <c r="DYC23" s="65"/>
      <c r="DYD23" s="65"/>
      <c r="DYE23" s="65"/>
      <c r="DYF23" s="65"/>
      <c r="DYG23" s="65"/>
      <c r="DYH23" s="65"/>
      <c r="DYI23" s="65"/>
      <c r="DYJ23" s="65"/>
      <c r="DYK23" s="65"/>
      <c r="DYL23" s="65"/>
      <c r="DYM23" s="65"/>
      <c r="DYN23" s="65"/>
      <c r="DYO23" s="65"/>
      <c r="DYP23" s="65"/>
      <c r="DYQ23" s="65"/>
      <c r="DYR23" s="65"/>
      <c r="DYS23" s="65"/>
      <c r="DYT23" s="65"/>
      <c r="DYU23" s="65"/>
      <c r="DYV23" s="65"/>
      <c r="DYW23" s="65"/>
      <c r="DYX23" s="65"/>
      <c r="DYY23" s="65"/>
      <c r="DYZ23" s="65"/>
      <c r="DZA23" s="65"/>
      <c r="DZB23" s="65"/>
      <c r="DZC23" s="65"/>
      <c r="DZD23" s="65"/>
      <c r="DZE23" s="65"/>
      <c r="DZF23" s="65"/>
      <c r="DZG23" s="65"/>
      <c r="DZH23" s="65"/>
      <c r="DZI23" s="65"/>
      <c r="DZJ23" s="65"/>
      <c r="DZK23" s="65"/>
      <c r="DZL23" s="65"/>
      <c r="DZM23" s="65"/>
      <c r="DZN23" s="65"/>
      <c r="DZO23" s="65"/>
      <c r="DZP23" s="65"/>
      <c r="DZQ23" s="65"/>
      <c r="DZR23" s="65"/>
      <c r="DZS23" s="65"/>
      <c r="DZT23" s="65"/>
      <c r="DZU23" s="65"/>
      <c r="DZV23" s="65"/>
      <c r="DZW23" s="65"/>
      <c r="DZX23" s="65"/>
      <c r="DZY23" s="65"/>
      <c r="DZZ23" s="65"/>
      <c r="EAA23" s="65"/>
      <c r="EAB23" s="65"/>
      <c r="EAC23" s="65"/>
      <c r="EAD23" s="65"/>
      <c r="EAE23" s="65"/>
      <c r="EAF23" s="65"/>
      <c r="EAG23" s="65"/>
      <c r="EAH23" s="65"/>
      <c r="EAI23" s="65"/>
      <c r="EAJ23" s="65"/>
      <c r="EAK23" s="65"/>
      <c r="EAL23" s="65"/>
      <c r="EAM23" s="65"/>
      <c r="EAN23" s="65"/>
      <c r="EAO23" s="65"/>
      <c r="EAP23" s="65"/>
      <c r="EAQ23" s="65"/>
      <c r="EAR23" s="65"/>
      <c r="EAS23" s="65"/>
      <c r="EAT23" s="65"/>
      <c r="EAU23" s="65"/>
      <c r="EAV23" s="65"/>
      <c r="EAW23" s="65"/>
      <c r="EAX23" s="65"/>
      <c r="EAY23" s="65"/>
      <c r="EAZ23" s="65"/>
      <c r="EBA23" s="65"/>
      <c r="EBB23" s="65"/>
      <c r="EBC23" s="65"/>
      <c r="EBD23" s="65"/>
      <c r="EBE23" s="65"/>
      <c r="EBF23" s="65"/>
      <c r="EBG23" s="65"/>
      <c r="EBH23" s="65"/>
      <c r="EBI23" s="65"/>
      <c r="EBJ23" s="65"/>
      <c r="EBK23" s="65"/>
      <c r="EBL23" s="65"/>
      <c r="EBM23" s="65"/>
      <c r="EBN23" s="65"/>
      <c r="EBO23" s="65"/>
      <c r="EBP23" s="65"/>
      <c r="EBQ23" s="65"/>
      <c r="EBR23" s="65"/>
      <c r="EBS23" s="65"/>
      <c r="EBT23" s="65"/>
      <c r="EBU23" s="65"/>
      <c r="EBV23" s="65"/>
      <c r="EBW23" s="65"/>
      <c r="EBX23" s="65"/>
      <c r="EBY23" s="65"/>
      <c r="EBZ23" s="65"/>
      <c r="ECA23" s="65"/>
      <c r="ECB23" s="65"/>
      <c r="ECC23" s="65"/>
      <c r="ECD23" s="65"/>
      <c r="ECE23" s="65"/>
      <c r="ECF23" s="65"/>
      <c r="ECG23" s="65"/>
      <c r="ECH23" s="65"/>
      <c r="ECI23" s="65"/>
      <c r="ECJ23" s="65"/>
      <c r="ECK23" s="65"/>
      <c r="ECL23" s="65"/>
      <c r="ECM23" s="65"/>
      <c r="ECN23" s="65"/>
      <c r="ECO23" s="65"/>
      <c r="ECP23" s="65"/>
      <c r="ECQ23" s="65"/>
      <c r="ECR23" s="65"/>
      <c r="ECS23" s="65"/>
      <c r="ECT23" s="65"/>
      <c r="ECU23" s="65"/>
      <c r="ECV23" s="65"/>
      <c r="ECW23" s="65"/>
      <c r="ECX23" s="65"/>
      <c r="ECY23" s="65"/>
      <c r="ECZ23" s="65"/>
      <c r="EDA23" s="65"/>
      <c r="EDB23" s="65"/>
      <c r="EDC23" s="65"/>
      <c r="EDD23" s="65"/>
      <c r="EDE23" s="65"/>
      <c r="EDF23" s="65"/>
      <c r="EDG23" s="65"/>
      <c r="EDH23" s="65"/>
      <c r="EDI23" s="65"/>
      <c r="EDJ23" s="65"/>
      <c r="EDK23" s="65"/>
      <c r="EDL23" s="65"/>
      <c r="EDM23" s="65"/>
      <c r="EDN23" s="65"/>
      <c r="EDO23" s="65"/>
      <c r="EDP23" s="65"/>
      <c r="EDQ23" s="65"/>
      <c r="EDR23" s="65"/>
      <c r="EDS23" s="65"/>
      <c r="EDT23" s="65"/>
      <c r="EDU23" s="65"/>
      <c r="EDV23" s="65"/>
      <c r="EDW23" s="65"/>
      <c r="EDX23" s="65"/>
      <c r="EDY23" s="65"/>
      <c r="EDZ23" s="65"/>
      <c r="EEA23" s="65"/>
      <c r="EEB23" s="65"/>
      <c r="EEC23" s="65"/>
      <c r="EED23" s="65"/>
      <c r="EEE23" s="65"/>
      <c r="EEF23" s="65"/>
      <c r="EEG23" s="65"/>
      <c r="EEH23" s="65"/>
      <c r="EEI23" s="65"/>
      <c r="EEJ23" s="65"/>
      <c r="EEK23" s="65"/>
      <c r="EEL23" s="65"/>
      <c r="EEM23" s="65"/>
      <c r="EEN23" s="65"/>
      <c r="EEO23" s="65"/>
      <c r="EEP23" s="65"/>
      <c r="EEQ23" s="65"/>
      <c r="EER23" s="65"/>
      <c r="EES23" s="65"/>
      <c r="EET23" s="65"/>
      <c r="EEU23" s="65"/>
      <c r="EEV23" s="65"/>
      <c r="EEW23" s="65"/>
      <c r="EEX23" s="65"/>
      <c r="EEY23" s="65"/>
      <c r="EEZ23" s="65"/>
      <c r="EFA23" s="65"/>
      <c r="EFB23" s="65"/>
      <c r="EFC23" s="65"/>
      <c r="EFD23" s="65"/>
      <c r="EFE23" s="65"/>
      <c r="EFF23" s="65"/>
      <c r="EFG23" s="65"/>
      <c r="EFH23" s="65"/>
      <c r="EFI23" s="65"/>
      <c r="EFJ23" s="65"/>
      <c r="EFK23" s="65"/>
      <c r="EFL23" s="65"/>
      <c r="EFM23" s="65"/>
      <c r="EFN23" s="65"/>
      <c r="EFO23" s="65"/>
      <c r="EFP23" s="65"/>
      <c r="EFQ23" s="65"/>
      <c r="EFR23" s="65"/>
      <c r="EFS23" s="65"/>
      <c r="EFT23" s="65"/>
      <c r="EFU23" s="65"/>
      <c r="EFV23" s="65"/>
      <c r="EFW23" s="65"/>
      <c r="EFX23" s="65"/>
      <c r="EFY23" s="65"/>
      <c r="EFZ23" s="65"/>
      <c r="EGA23" s="65"/>
      <c r="EGB23" s="65"/>
      <c r="EGC23" s="65"/>
      <c r="EGD23" s="65"/>
      <c r="EGE23" s="65"/>
      <c r="EGF23" s="65"/>
      <c r="EGG23" s="65"/>
      <c r="EGH23" s="65"/>
      <c r="EGI23" s="65"/>
      <c r="EGJ23" s="65"/>
      <c r="EGK23" s="65"/>
      <c r="EGL23" s="65"/>
      <c r="EGM23" s="65"/>
      <c r="EGN23" s="65"/>
      <c r="EGO23" s="65"/>
      <c r="EGP23" s="65"/>
      <c r="EGQ23" s="65"/>
      <c r="EGR23" s="65"/>
      <c r="EGS23" s="65"/>
      <c r="EGT23" s="65"/>
      <c r="EGU23" s="65"/>
      <c r="EGV23" s="65"/>
      <c r="EGW23" s="65"/>
      <c r="EGX23" s="65"/>
      <c r="EGY23" s="65"/>
      <c r="EGZ23" s="65"/>
      <c r="EHA23" s="65"/>
      <c r="EHB23" s="65"/>
      <c r="EHC23" s="65"/>
      <c r="EHD23" s="65"/>
      <c r="EHE23" s="65"/>
      <c r="EHF23" s="65"/>
      <c r="EHG23" s="65"/>
      <c r="EHH23" s="65"/>
      <c r="EHI23" s="65"/>
      <c r="EHJ23" s="65"/>
      <c r="EHK23" s="65"/>
      <c r="EHL23" s="65"/>
      <c r="EHM23" s="65"/>
      <c r="EHN23" s="65"/>
      <c r="EHO23" s="65"/>
      <c r="EHP23" s="65"/>
      <c r="EHQ23" s="65"/>
      <c r="EHR23" s="65"/>
      <c r="EHS23" s="65"/>
      <c r="EHT23" s="65"/>
      <c r="EHU23" s="65"/>
      <c r="EHV23" s="65"/>
      <c r="EHW23" s="65"/>
      <c r="EHX23" s="65"/>
      <c r="EHY23" s="65"/>
      <c r="EHZ23" s="65"/>
      <c r="EIA23" s="65"/>
      <c r="EIB23" s="65"/>
      <c r="EIC23" s="65"/>
      <c r="EID23" s="65"/>
      <c r="EIE23" s="65"/>
      <c r="EIF23" s="65"/>
      <c r="EIG23" s="65"/>
      <c r="EIH23" s="65"/>
      <c r="EII23" s="65"/>
      <c r="EIJ23" s="65"/>
      <c r="EIK23" s="65"/>
      <c r="EIL23" s="65"/>
      <c r="EIM23" s="65"/>
      <c r="EIN23" s="65"/>
      <c r="EIO23" s="65"/>
      <c r="EIP23" s="65"/>
      <c r="EIQ23" s="65"/>
      <c r="EIR23" s="65"/>
      <c r="EIS23" s="65"/>
      <c r="EIT23" s="65"/>
      <c r="EIU23" s="65"/>
      <c r="EIV23" s="65"/>
      <c r="EIW23" s="65"/>
      <c r="EIX23" s="65"/>
      <c r="EIY23" s="65"/>
      <c r="EIZ23" s="65"/>
      <c r="EJA23" s="65"/>
      <c r="EJB23" s="65"/>
      <c r="EJC23" s="65"/>
      <c r="EJD23" s="65"/>
      <c r="EJE23" s="65"/>
      <c r="EJF23" s="65"/>
      <c r="EJG23" s="65"/>
      <c r="EJH23" s="65"/>
      <c r="EJI23" s="65"/>
      <c r="EJJ23" s="65"/>
      <c r="EJK23" s="65"/>
      <c r="EJL23" s="65"/>
      <c r="EJM23" s="65"/>
      <c r="EJN23" s="65"/>
      <c r="EJO23" s="65"/>
      <c r="EJP23" s="65"/>
      <c r="EJQ23" s="65"/>
      <c r="EJR23" s="65"/>
      <c r="EJS23" s="65"/>
      <c r="EJT23" s="65"/>
      <c r="EJU23" s="65"/>
      <c r="EJV23" s="65"/>
      <c r="EJW23" s="65"/>
      <c r="EJX23" s="65"/>
      <c r="EJY23" s="65"/>
      <c r="EJZ23" s="65"/>
      <c r="EKA23" s="65"/>
      <c r="EKB23" s="65"/>
      <c r="EKC23" s="65"/>
      <c r="EKD23" s="65"/>
      <c r="EKE23" s="65"/>
      <c r="EKF23" s="65"/>
      <c r="EKG23" s="65"/>
      <c r="EKH23" s="65"/>
      <c r="EKI23" s="65"/>
      <c r="EKJ23" s="65"/>
      <c r="EKK23" s="65"/>
      <c r="EKL23" s="65"/>
      <c r="EKM23" s="65"/>
      <c r="EKN23" s="65"/>
      <c r="EKO23" s="65"/>
      <c r="EKP23" s="65"/>
      <c r="EKQ23" s="65"/>
      <c r="EKR23" s="65"/>
      <c r="EKS23" s="65"/>
      <c r="EKT23" s="65"/>
      <c r="EKU23" s="65"/>
      <c r="EKV23" s="65"/>
      <c r="EKW23" s="65"/>
      <c r="EKX23" s="65"/>
      <c r="EKY23" s="65"/>
      <c r="EKZ23" s="65"/>
      <c r="ELA23" s="65"/>
      <c r="ELB23" s="65"/>
      <c r="ELC23" s="65"/>
      <c r="ELD23" s="65"/>
      <c r="ELE23" s="65"/>
      <c r="ELF23" s="65"/>
      <c r="ELG23" s="65"/>
      <c r="ELH23" s="65"/>
      <c r="ELI23" s="65"/>
      <c r="ELJ23" s="65"/>
      <c r="ELK23" s="65"/>
      <c r="ELL23" s="65"/>
      <c r="ELM23" s="65"/>
      <c r="ELN23" s="65"/>
      <c r="ELO23" s="65"/>
      <c r="ELP23" s="65"/>
      <c r="ELQ23" s="65"/>
      <c r="ELR23" s="65"/>
      <c r="ELS23" s="65"/>
      <c r="ELT23" s="65"/>
      <c r="ELU23" s="65"/>
      <c r="ELV23" s="65"/>
      <c r="ELW23" s="65"/>
      <c r="ELX23" s="65"/>
      <c r="ELY23" s="65"/>
      <c r="ELZ23" s="65"/>
      <c r="EMA23" s="65"/>
      <c r="EMB23" s="65"/>
      <c r="EMC23" s="65"/>
      <c r="EMD23" s="65"/>
      <c r="EME23" s="65"/>
      <c r="EMF23" s="65"/>
      <c r="EMG23" s="65"/>
      <c r="EMH23" s="65"/>
      <c r="EMI23" s="65"/>
      <c r="EMJ23" s="65"/>
      <c r="EMK23" s="65"/>
      <c r="EML23" s="65"/>
      <c r="EMM23" s="65"/>
      <c r="EMN23" s="65"/>
      <c r="EMO23" s="65"/>
      <c r="EMP23" s="65"/>
      <c r="EMQ23" s="65"/>
      <c r="EMR23" s="65"/>
      <c r="EMS23" s="65"/>
      <c r="EMT23" s="65"/>
      <c r="EMU23" s="65"/>
      <c r="EMV23" s="65"/>
      <c r="EMW23" s="65"/>
      <c r="EMX23" s="65"/>
      <c r="EMY23" s="65"/>
      <c r="EMZ23" s="65"/>
      <c r="ENA23" s="65"/>
      <c r="ENB23" s="65"/>
      <c r="ENC23" s="65"/>
      <c r="END23" s="65"/>
      <c r="ENE23" s="65"/>
      <c r="ENF23" s="65"/>
      <c r="ENG23" s="65"/>
      <c r="ENH23" s="65"/>
      <c r="ENI23" s="65"/>
      <c r="ENJ23" s="65"/>
      <c r="ENK23" s="65"/>
      <c r="ENL23" s="65"/>
      <c r="ENM23" s="65"/>
      <c r="ENN23" s="65"/>
      <c r="ENO23" s="65"/>
      <c r="ENP23" s="65"/>
      <c r="ENQ23" s="65"/>
      <c r="ENR23" s="65"/>
      <c r="ENS23" s="65"/>
      <c r="ENT23" s="65"/>
      <c r="ENU23" s="65"/>
      <c r="ENV23" s="65"/>
      <c r="ENW23" s="65"/>
      <c r="ENX23" s="65"/>
      <c r="ENY23" s="65"/>
      <c r="ENZ23" s="65"/>
      <c r="EOA23" s="65"/>
      <c r="EOB23" s="65"/>
      <c r="EOC23" s="65"/>
      <c r="EOD23" s="65"/>
      <c r="EOE23" s="65"/>
      <c r="EOF23" s="65"/>
      <c r="EOG23" s="65"/>
      <c r="EOH23" s="65"/>
      <c r="EOI23" s="65"/>
      <c r="EOJ23" s="65"/>
      <c r="EOK23" s="65"/>
      <c r="EOL23" s="65"/>
      <c r="EOM23" s="65"/>
      <c r="EON23" s="65"/>
      <c r="EOO23" s="65"/>
      <c r="EOP23" s="65"/>
      <c r="EOQ23" s="65"/>
      <c r="EOR23" s="65"/>
      <c r="EOS23" s="65"/>
      <c r="EOT23" s="65"/>
      <c r="EOU23" s="65"/>
      <c r="EOV23" s="65"/>
      <c r="EOW23" s="65"/>
      <c r="EOX23" s="65"/>
      <c r="EOY23" s="65"/>
      <c r="EOZ23" s="65"/>
      <c r="EPA23" s="65"/>
      <c r="EPB23" s="65"/>
      <c r="EPC23" s="65"/>
      <c r="EPD23" s="65"/>
      <c r="EPE23" s="65"/>
      <c r="EPF23" s="65"/>
      <c r="EPG23" s="65"/>
      <c r="EPH23" s="65"/>
      <c r="EPI23" s="65"/>
      <c r="EPJ23" s="65"/>
      <c r="EPK23" s="65"/>
      <c r="EPL23" s="65"/>
      <c r="EPM23" s="65"/>
      <c r="EPN23" s="65"/>
      <c r="EPO23" s="65"/>
      <c r="EPP23" s="65"/>
      <c r="EPQ23" s="65"/>
      <c r="EPR23" s="65"/>
      <c r="EPS23" s="65"/>
      <c r="EPT23" s="65"/>
      <c r="EPU23" s="65"/>
      <c r="EPV23" s="65"/>
      <c r="EPW23" s="65"/>
      <c r="EPX23" s="65"/>
      <c r="EPY23" s="65"/>
      <c r="EPZ23" s="65"/>
      <c r="EQA23" s="65"/>
      <c r="EQB23" s="65"/>
      <c r="EQC23" s="65"/>
      <c r="EQD23" s="65"/>
      <c r="EQE23" s="65"/>
      <c r="EQF23" s="65"/>
      <c r="EQG23" s="65"/>
      <c r="EQH23" s="65"/>
      <c r="EQI23" s="65"/>
      <c r="EQJ23" s="65"/>
      <c r="EQK23" s="65"/>
      <c r="EQL23" s="65"/>
      <c r="EQM23" s="65"/>
      <c r="EQN23" s="65"/>
      <c r="EQO23" s="65"/>
      <c r="EQP23" s="65"/>
      <c r="EQQ23" s="65"/>
      <c r="EQR23" s="65"/>
      <c r="EQS23" s="65"/>
      <c r="EQT23" s="65"/>
      <c r="EQU23" s="65"/>
      <c r="EQV23" s="65"/>
      <c r="EQW23" s="65"/>
      <c r="EQX23" s="65"/>
      <c r="EQY23" s="65"/>
      <c r="EQZ23" s="65"/>
      <c r="ERA23" s="65"/>
      <c r="ERB23" s="65"/>
      <c r="ERC23" s="65"/>
      <c r="ERD23" s="65"/>
      <c r="ERE23" s="65"/>
      <c r="ERF23" s="65"/>
      <c r="ERG23" s="65"/>
      <c r="ERH23" s="65"/>
      <c r="ERI23" s="65"/>
      <c r="ERJ23" s="65"/>
      <c r="ERK23" s="65"/>
      <c r="ERL23" s="65"/>
      <c r="ERM23" s="65"/>
      <c r="ERN23" s="65"/>
      <c r="ERO23" s="65"/>
      <c r="ERP23" s="65"/>
      <c r="ERQ23" s="65"/>
      <c r="ERR23" s="65"/>
      <c r="ERS23" s="65"/>
      <c r="ERT23" s="65"/>
      <c r="ERU23" s="65"/>
      <c r="ERV23" s="65"/>
      <c r="ERW23" s="65"/>
      <c r="ERX23" s="65"/>
      <c r="ERY23" s="65"/>
      <c r="ERZ23" s="65"/>
      <c r="ESA23" s="65"/>
      <c r="ESB23" s="65"/>
      <c r="ESC23" s="65"/>
      <c r="ESD23" s="65"/>
      <c r="ESE23" s="65"/>
      <c r="ESF23" s="65"/>
      <c r="ESG23" s="65"/>
      <c r="ESH23" s="65"/>
      <c r="ESI23" s="65"/>
      <c r="ESJ23" s="65"/>
      <c r="ESK23" s="65"/>
      <c r="ESL23" s="65"/>
      <c r="ESM23" s="65"/>
      <c r="ESN23" s="65"/>
      <c r="ESO23" s="65"/>
      <c r="ESP23" s="65"/>
      <c r="ESQ23" s="65"/>
      <c r="ESR23" s="65"/>
      <c r="ESS23" s="65"/>
      <c r="EST23" s="65"/>
      <c r="ESU23" s="65"/>
      <c r="ESV23" s="65"/>
      <c r="ESW23" s="65"/>
      <c r="ESX23" s="65"/>
      <c r="ESY23" s="65"/>
      <c r="ESZ23" s="65"/>
      <c r="ETA23" s="65"/>
      <c r="ETB23" s="65"/>
      <c r="ETC23" s="65"/>
      <c r="ETD23" s="65"/>
      <c r="ETE23" s="65"/>
      <c r="ETF23" s="65"/>
      <c r="ETG23" s="65"/>
      <c r="ETH23" s="65"/>
      <c r="ETI23" s="65"/>
      <c r="ETJ23" s="65"/>
      <c r="ETK23" s="65"/>
      <c r="ETL23" s="65"/>
      <c r="ETM23" s="65"/>
      <c r="ETN23" s="65"/>
      <c r="ETO23" s="65"/>
      <c r="ETP23" s="65"/>
      <c r="ETQ23" s="65"/>
      <c r="ETR23" s="65"/>
      <c r="ETS23" s="65"/>
      <c r="ETT23" s="65"/>
      <c r="ETU23" s="65"/>
      <c r="ETV23" s="65"/>
      <c r="ETW23" s="65"/>
      <c r="ETX23" s="65"/>
      <c r="ETY23" s="65"/>
      <c r="ETZ23" s="65"/>
      <c r="EUA23" s="65"/>
      <c r="EUB23" s="65"/>
      <c r="EUC23" s="65"/>
      <c r="EUD23" s="65"/>
      <c r="EUE23" s="65"/>
      <c r="EUF23" s="65"/>
      <c r="EUG23" s="65"/>
      <c r="EUH23" s="65"/>
      <c r="EUI23" s="65"/>
      <c r="EUJ23" s="65"/>
      <c r="EUK23" s="65"/>
      <c r="EUL23" s="65"/>
      <c r="EUM23" s="65"/>
      <c r="EUN23" s="65"/>
      <c r="EUO23" s="65"/>
      <c r="EUP23" s="65"/>
      <c r="EUQ23" s="65"/>
      <c r="EUR23" s="65"/>
      <c r="EUS23" s="65"/>
      <c r="EUT23" s="65"/>
      <c r="EUU23" s="65"/>
      <c r="EUV23" s="65"/>
      <c r="EUW23" s="65"/>
      <c r="EUX23" s="65"/>
      <c r="EUY23" s="65"/>
      <c r="EUZ23" s="65"/>
      <c r="EVA23" s="65"/>
      <c r="EVB23" s="65"/>
      <c r="EVC23" s="65"/>
      <c r="EVD23" s="65"/>
      <c r="EVE23" s="65"/>
      <c r="EVF23" s="65"/>
      <c r="EVG23" s="65"/>
      <c r="EVH23" s="65"/>
      <c r="EVI23" s="65"/>
      <c r="EVJ23" s="65"/>
      <c r="EVK23" s="65"/>
      <c r="EVL23" s="65"/>
      <c r="EVM23" s="65"/>
      <c r="EVN23" s="65"/>
      <c r="EVO23" s="65"/>
      <c r="EVP23" s="65"/>
      <c r="EVQ23" s="65"/>
      <c r="EVR23" s="65"/>
      <c r="EVS23" s="65"/>
      <c r="EVT23" s="65"/>
      <c r="EVU23" s="65"/>
      <c r="EVV23" s="65"/>
      <c r="EVW23" s="65"/>
      <c r="EVX23" s="65"/>
      <c r="EVY23" s="65"/>
      <c r="EVZ23" s="65"/>
      <c r="EWA23" s="65"/>
      <c r="EWB23" s="65"/>
      <c r="EWC23" s="65"/>
      <c r="EWD23" s="65"/>
      <c r="EWE23" s="65"/>
      <c r="EWF23" s="65"/>
      <c r="EWG23" s="65"/>
      <c r="EWH23" s="65"/>
      <c r="EWI23" s="65"/>
      <c r="EWJ23" s="65"/>
      <c r="EWK23" s="65"/>
      <c r="EWL23" s="65"/>
      <c r="EWM23" s="65"/>
      <c r="EWN23" s="65"/>
      <c r="EWO23" s="65"/>
      <c r="EWP23" s="65"/>
      <c r="EWQ23" s="65"/>
      <c r="EWR23" s="65"/>
      <c r="EWS23" s="65"/>
      <c r="EWT23" s="65"/>
      <c r="EWU23" s="65"/>
      <c r="EWV23" s="65"/>
      <c r="EWW23" s="65"/>
      <c r="EWX23" s="65"/>
      <c r="EWY23" s="65"/>
      <c r="EWZ23" s="65"/>
      <c r="EXA23" s="65"/>
      <c r="EXB23" s="65"/>
      <c r="EXC23" s="65"/>
      <c r="EXD23" s="65"/>
      <c r="EXE23" s="65"/>
      <c r="EXF23" s="65"/>
      <c r="EXG23" s="65"/>
      <c r="EXH23" s="65"/>
      <c r="EXI23" s="65"/>
      <c r="EXJ23" s="65"/>
      <c r="EXK23" s="65"/>
      <c r="EXL23" s="65"/>
      <c r="EXM23" s="65"/>
      <c r="EXN23" s="65"/>
      <c r="EXO23" s="65"/>
      <c r="EXP23" s="65"/>
      <c r="EXQ23" s="65"/>
      <c r="EXR23" s="65"/>
      <c r="EXS23" s="65"/>
      <c r="EXT23" s="65"/>
      <c r="EXU23" s="65"/>
      <c r="EXV23" s="65"/>
      <c r="EXW23" s="65"/>
      <c r="EXX23" s="65"/>
      <c r="EXY23" s="65"/>
      <c r="EXZ23" s="65"/>
      <c r="EYA23" s="65"/>
      <c r="EYB23" s="65"/>
      <c r="EYC23" s="65"/>
      <c r="EYD23" s="65"/>
      <c r="EYE23" s="65"/>
      <c r="EYF23" s="65"/>
      <c r="EYG23" s="65"/>
      <c r="EYH23" s="65"/>
      <c r="EYI23" s="65"/>
      <c r="EYJ23" s="65"/>
      <c r="EYK23" s="65"/>
      <c r="EYL23" s="65"/>
      <c r="EYM23" s="65"/>
      <c r="EYN23" s="65"/>
      <c r="EYO23" s="65"/>
      <c r="EYP23" s="65"/>
      <c r="EYQ23" s="65"/>
      <c r="EYR23" s="65"/>
      <c r="EYS23" s="65"/>
      <c r="EYT23" s="65"/>
      <c r="EYU23" s="65"/>
      <c r="EYV23" s="65"/>
      <c r="EYW23" s="65"/>
      <c r="EYX23" s="65"/>
      <c r="EYY23" s="65"/>
      <c r="EYZ23" s="65"/>
      <c r="EZA23" s="65"/>
      <c r="EZB23" s="65"/>
      <c r="EZC23" s="65"/>
      <c r="EZD23" s="65"/>
      <c r="EZE23" s="65"/>
      <c r="EZF23" s="65"/>
      <c r="EZG23" s="65"/>
      <c r="EZH23" s="65"/>
      <c r="EZI23" s="65"/>
      <c r="EZJ23" s="65"/>
      <c r="EZK23" s="65"/>
      <c r="EZL23" s="65"/>
      <c r="EZM23" s="65"/>
      <c r="EZN23" s="65"/>
      <c r="EZO23" s="65"/>
      <c r="EZP23" s="65"/>
      <c r="EZQ23" s="65"/>
      <c r="EZR23" s="65"/>
      <c r="EZS23" s="65"/>
      <c r="EZT23" s="65"/>
      <c r="EZU23" s="65"/>
      <c r="EZV23" s="65"/>
      <c r="EZW23" s="65"/>
      <c r="EZX23" s="65"/>
      <c r="EZY23" s="65"/>
      <c r="EZZ23" s="65"/>
      <c r="FAA23" s="65"/>
      <c r="FAB23" s="65"/>
      <c r="FAC23" s="65"/>
      <c r="FAD23" s="65"/>
      <c r="FAE23" s="65"/>
      <c r="FAF23" s="65"/>
      <c r="FAG23" s="65"/>
      <c r="FAH23" s="65"/>
      <c r="FAI23" s="65"/>
      <c r="FAJ23" s="65"/>
      <c r="FAK23" s="65"/>
      <c r="FAL23" s="65"/>
      <c r="FAM23" s="65"/>
      <c r="FAN23" s="65"/>
      <c r="FAO23" s="65"/>
      <c r="FAP23" s="65"/>
      <c r="FAQ23" s="65"/>
      <c r="FAR23" s="65"/>
      <c r="FAS23" s="65"/>
      <c r="FAT23" s="65"/>
      <c r="FAU23" s="65"/>
      <c r="FAV23" s="65"/>
      <c r="FAW23" s="65"/>
      <c r="FAX23" s="65"/>
      <c r="FAY23" s="65"/>
      <c r="FAZ23" s="65"/>
      <c r="FBA23" s="65"/>
      <c r="FBB23" s="65"/>
      <c r="FBC23" s="65"/>
      <c r="FBD23" s="65"/>
      <c r="FBE23" s="65"/>
      <c r="FBF23" s="65"/>
      <c r="FBG23" s="65"/>
      <c r="FBH23" s="65"/>
      <c r="FBI23" s="65"/>
      <c r="FBJ23" s="65"/>
      <c r="FBK23" s="65"/>
      <c r="FBL23" s="65"/>
      <c r="FBM23" s="65"/>
      <c r="FBN23" s="65"/>
      <c r="FBO23" s="65"/>
      <c r="FBP23" s="65"/>
      <c r="FBQ23" s="65"/>
      <c r="FBR23" s="65"/>
      <c r="FBS23" s="65"/>
      <c r="FBT23" s="65"/>
      <c r="FBU23" s="65"/>
      <c r="FBV23" s="65"/>
      <c r="FBW23" s="65"/>
      <c r="FBX23" s="65"/>
      <c r="FBY23" s="65"/>
      <c r="FBZ23" s="65"/>
      <c r="FCA23" s="65"/>
      <c r="FCB23" s="65"/>
      <c r="FCC23" s="65"/>
      <c r="FCD23" s="65"/>
      <c r="FCE23" s="65"/>
      <c r="FCF23" s="65"/>
      <c r="FCG23" s="65"/>
      <c r="FCH23" s="65"/>
      <c r="FCI23" s="65"/>
      <c r="FCJ23" s="65"/>
      <c r="FCK23" s="65"/>
      <c r="FCL23" s="65"/>
      <c r="FCM23" s="65"/>
      <c r="FCN23" s="65"/>
      <c r="FCO23" s="65"/>
      <c r="FCP23" s="65"/>
      <c r="FCQ23" s="65"/>
      <c r="FCR23" s="65"/>
      <c r="FCS23" s="65"/>
      <c r="FCT23" s="65"/>
      <c r="FCU23" s="65"/>
      <c r="FCV23" s="65"/>
      <c r="FCW23" s="65"/>
      <c r="FCX23" s="65"/>
      <c r="FCY23" s="65"/>
      <c r="FCZ23" s="65"/>
      <c r="FDA23" s="65"/>
      <c r="FDB23" s="65"/>
      <c r="FDC23" s="65"/>
      <c r="FDD23" s="65"/>
      <c r="FDE23" s="65"/>
      <c r="FDF23" s="65"/>
      <c r="FDG23" s="65"/>
      <c r="FDH23" s="65"/>
      <c r="FDI23" s="65"/>
      <c r="FDJ23" s="65"/>
      <c r="FDK23" s="65"/>
      <c r="FDL23" s="65"/>
      <c r="FDM23" s="65"/>
      <c r="FDN23" s="65"/>
      <c r="FDO23" s="65"/>
      <c r="FDP23" s="65"/>
      <c r="FDQ23" s="65"/>
      <c r="FDR23" s="65"/>
      <c r="FDS23" s="65"/>
      <c r="FDT23" s="65"/>
      <c r="FDU23" s="65"/>
      <c r="FDV23" s="65"/>
      <c r="FDW23" s="65"/>
      <c r="FDX23" s="65"/>
      <c r="FDY23" s="65"/>
      <c r="FDZ23" s="65"/>
      <c r="FEA23" s="65"/>
      <c r="FEB23" s="65"/>
      <c r="FEC23" s="65"/>
      <c r="FED23" s="65"/>
      <c r="FEE23" s="65"/>
      <c r="FEF23" s="65"/>
      <c r="FEG23" s="65"/>
      <c r="FEH23" s="65"/>
      <c r="FEI23" s="65"/>
      <c r="FEJ23" s="65"/>
      <c r="FEK23" s="65"/>
      <c r="FEL23" s="65"/>
      <c r="FEM23" s="65"/>
      <c r="FEN23" s="65"/>
      <c r="FEO23" s="65"/>
      <c r="FEP23" s="65"/>
      <c r="FEQ23" s="65"/>
      <c r="FER23" s="65"/>
      <c r="FES23" s="65"/>
      <c r="FET23" s="65"/>
      <c r="FEU23" s="65"/>
      <c r="FEV23" s="65"/>
      <c r="FEW23" s="65"/>
      <c r="FEX23" s="65"/>
      <c r="FEY23" s="65"/>
      <c r="FEZ23" s="65"/>
      <c r="FFA23" s="65"/>
      <c r="FFB23" s="65"/>
      <c r="FFC23" s="65"/>
      <c r="FFD23" s="65"/>
      <c r="FFE23" s="65"/>
      <c r="FFF23" s="65"/>
      <c r="FFG23" s="65"/>
      <c r="FFH23" s="65"/>
      <c r="FFI23" s="65"/>
      <c r="FFJ23" s="65"/>
      <c r="FFK23" s="65"/>
      <c r="FFL23" s="65"/>
      <c r="FFM23" s="65"/>
      <c r="FFN23" s="65"/>
      <c r="FFO23" s="65"/>
      <c r="FFP23" s="65"/>
      <c r="FFQ23" s="65"/>
      <c r="FFR23" s="65"/>
      <c r="FFS23" s="65"/>
      <c r="FFT23" s="65"/>
      <c r="FFU23" s="65"/>
      <c r="FFV23" s="65"/>
      <c r="FFW23" s="65"/>
      <c r="FFX23" s="65"/>
      <c r="FFY23" s="65"/>
      <c r="FFZ23" s="65"/>
      <c r="FGA23" s="65"/>
      <c r="FGB23" s="65"/>
      <c r="FGC23" s="65"/>
      <c r="FGD23" s="65"/>
      <c r="FGE23" s="65"/>
      <c r="FGF23" s="65"/>
      <c r="FGG23" s="65"/>
      <c r="FGH23" s="65"/>
      <c r="FGI23" s="65"/>
      <c r="FGJ23" s="65"/>
      <c r="FGK23" s="65"/>
      <c r="FGL23" s="65"/>
      <c r="FGM23" s="65"/>
      <c r="FGN23" s="65"/>
      <c r="FGO23" s="65"/>
      <c r="FGP23" s="65"/>
      <c r="FGQ23" s="65"/>
      <c r="FGR23" s="65"/>
      <c r="FGS23" s="65"/>
      <c r="FGT23" s="65"/>
      <c r="FGU23" s="65"/>
      <c r="FGV23" s="65"/>
      <c r="FGW23" s="65"/>
      <c r="FGX23" s="65"/>
      <c r="FGY23" s="65"/>
      <c r="FGZ23" s="65"/>
      <c r="FHA23" s="65"/>
      <c r="FHB23" s="65"/>
      <c r="FHC23" s="65"/>
      <c r="FHD23" s="65"/>
      <c r="FHE23" s="65"/>
      <c r="FHF23" s="65"/>
      <c r="FHG23" s="65"/>
      <c r="FHH23" s="65"/>
      <c r="FHI23" s="65"/>
      <c r="FHJ23" s="65"/>
      <c r="FHK23" s="65"/>
      <c r="FHL23" s="65"/>
      <c r="FHM23" s="65"/>
      <c r="FHN23" s="65"/>
      <c r="FHO23" s="65"/>
      <c r="FHP23" s="65"/>
      <c r="FHQ23" s="65"/>
      <c r="FHR23" s="65"/>
      <c r="FHS23" s="65"/>
      <c r="FHT23" s="65"/>
      <c r="FHU23" s="65"/>
      <c r="FHV23" s="65"/>
      <c r="FHW23" s="65"/>
      <c r="FHX23" s="65"/>
      <c r="FHY23" s="65"/>
      <c r="FHZ23" s="65"/>
      <c r="FIA23" s="65"/>
      <c r="FIB23" s="65"/>
      <c r="FIC23" s="65"/>
      <c r="FID23" s="65"/>
      <c r="FIE23" s="65"/>
      <c r="FIF23" s="65"/>
      <c r="FIG23" s="65"/>
      <c r="FIH23" s="65"/>
      <c r="FII23" s="65"/>
      <c r="FIJ23" s="65"/>
      <c r="FIK23" s="65"/>
      <c r="FIL23" s="65"/>
      <c r="FIM23" s="65"/>
      <c r="FIN23" s="65"/>
      <c r="FIO23" s="65"/>
      <c r="FIP23" s="65"/>
      <c r="FIQ23" s="65"/>
      <c r="FIR23" s="65"/>
      <c r="FIS23" s="65"/>
      <c r="FIT23" s="65"/>
      <c r="FIU23" s="65"/>
      <c r="FIV23" s="65"/>
      <c r="FIW23" s="65"/>
      <c r="FIX23" s="65"/>
      <c r="FIY23" s="65"/>
      <c r="FIZ23" s="65"/>
      <c r="FJA23" s="65"/>
      <c r="FJB23" s="65"/>
      <c r="FJC23" s="65"/>
      <c r="FJD23" s="65"/>
      <c r="FJE23" s="65"/>
      <c r="FJF23" s="65"/>
      <c r="FJG23" s="65"/>
      <c r="FJH23" s="65"/>
      <c r="FJI23" s="65"/>
      <c r="FJJ23" s="65"/>
      <c r="FJK23" s="65"/>
      <c r="FJL23" s="65"/>
      <c r="FJM23" s="65"/>
      <c r="FJN23" s="65"/>
      <c r="FJO23" s="65"/>
      <c r="FJP23" s="65"/>
      <c r="FJQ23" s="65"/>
      <c r="FJR23" s="65"/>
      <c r="FJS23" s="65"/>
      <c r="FJT23" s="65"/>
      <c r="FJU23" s="65"/>
      <c r="FJV23" s="65"/>
      <c r="FJW23" s="65"/>
      <c r="FJX23" s="65"/>
      <c r="FJY23" s="65"/>
      <c r="FJZ23" s="65"/>
      <c r="FKA23" s="65"/>
      <c r="FKB23" s="65"/>
      <c r="FKC23" s="65"/>
      <c r="FKD23" s="65"/>
      <c r="FKE23" s="65"/>
      <c r="FKF23" s="65"/>
      <c r="FKG23" s="65"/>
      <c r="FKH23" s="65"/>
      <c r="FKI23" s="65"/>
      <c r="FKJ23" s="65"/>
      <c r="FKK23" s="65"/>
      <c r="FKL23" s="65"/>
      <c r="FKM23" s="65"/>
      <c r="FKN23" s="65"/>
      <c r="FKO23" s="65"/>
      <c r="FKP23" s="65"/>
      <c r="FKQ23" s="65"/>
      <c r="FKR23" s="65"/>
      <c r="FKS23" s="65"/>
      <c r="FKT23" s="65"/>
      <c r="FKU23" s="65"/>
      <c r="FKV23" s="65"/>
      <c r="FKW23" s="65"/>
      <c r="FKX23" s="65"/>
      <c r="FKY23" s="65"/>
      <c r="FKZ23" s="65"/>
      <c r="FLA23" s="65"/>
      <c r="FLB23" s="65"/>
      <c r="FLC23" s="65"/>
      <c r="FLD23" s="65"/>
      <c r="FLE23" s="65"/>
      <c r="FLF23" s="65"/>
      <c r="FLG23" s="65"/>
      <c r="FLH23" s="65"/>
      <c r="FLI23" s="65"/>
      <c r="FLJ23" s="65"/>
      <c r="FLK23" s="65"/>
      <c r="FLL23" s="65"/>
      <c r="FLM23" s="65"/>
      <c r="FLN23" s="65"/>
      <c r="FLO23" s="65"/>
      <c r="FLP23" s="65"/>
      <c r="FLQ23" s="65"/>
      <c r="FLR23" s="65"/>
      <c r="FLS23" s="65"/>
      <c r="FLT23" s="65"/>
      <c r="FLU23" s="65"/>
      <c r="FLV23" s="65"/>
      <c r="FLW23" s="65"/>
      <c r="FLX23" s="65"/>
      <c r="FLY23" s="65"/>
      <c r="FLZ23" s="65"/>
      <c r="FMA23" s="65"/>
      <c r="FMB23" s="65"/>
      <c r="FMC23" s="65"/>
      <c r="FMD23" s="65"/>
      <c r="FME23" s="65"/>
      <c r="FMF23" s="65"/>
      <c r="FMG23" s="65"/>
      <c r="FMH23" s="65"/>
      <c r="FMI23" s="65"/>
      <c r="FMJ23" s="65"/>
      <c r="FMK23" s="65"/>
      <c r="FML23" s="65"/>
      <c r="FMM23" s="65"/>
      <c r="FMN23" s="65"/>
      <c r="FMO23" s="65"/>
      <c r="FMP23" s="65"/>
      <c r="FMQ23" s="65"/>
      <c r="FMR23" s="65"/>
      <c r="FMS23" s="65"/>
      <c r="FMT23" s="65"/>
      <c r="FMU23" s="65"/>
      <c r="FMV23" s="65"/>
      <c r="FMW23" s="65"/>
      <c r="FMX23" s="65"/>
      <c r="FMY23" s="65"/>
      <c r="FMZ23" s="65"/>
      <c r="FNA23" s="65"/>
      <c r="FNB23" s="65"/>
      <c r="FNC23" s="65"/>
      <c r="FND23" s="65"/>
      <c r="FNE23" s="65"/>
      <c r="FNF23" s="65"/>
      <c r="FNG23" s="65"/>
      <c r="FNH23" s="65"/>
      <c r="FNI23" s="65"/>
      <c r="FNJ23" s="65"/>
      <c r="FNK23" s="65"/>
      <c r="FNL23" s="65"/>
      <c r="FNM23" s="65"/>
      <c r="FNN23" s="65"/>
      <c r="FNO23" s="65"/>
      <c r="FNP23" s="65"/>
      <c r="FNQ23" s="65"/>
      <c r="FNR23" s="65"/>
      <c r="FNS23" s="65"/>
      <c r="FNT23" s="65"/>
      <c r="FNU23" s="65"/>
      <c r="FNV23" s="65"/>
      <c r="FNW23" s="65"/>
      <c r="FNX23" s="65"/>
      <c r="FNY23" s="65"/>
      <c r="FNZ23" s="65"/>
      <c r="FOA23" s="65"/>
      <c r="FOB23" s="65"/>
      <c r="FOC23" s="65"/>
      <c r="FOD23" s="65"/>
      <c r="FOE23" s="65"/>
      <c r="FOF23" s="65"/>
      <c r="FOG23" s="65"/>
      <c r="FOH23" s="65"/>
      <c r="FOI23" s="65"/>
      <c r="FOJ23" s="65"/>
      <c r="FOK23" s="65"/>
      <c r="FOL23" s="65"/>
      <c r="FOM23" s="65"/>
      <c r="FON23" s="65"/>
      <c r="FOO23" s="65"/>
      <c r="FOP23" s="65"/>
      <c r="FOQ23" s="65"/>
      <c r="FOR23" s="65"/>
      <c r="FOS23" s="65"/>
      <c r="FOT23" s="65"/>
      <c r="FOU23" s="65"/>
      <c r="FOV23" s="65"/>
      <c r="FOW23" s="65"/>
      <c r="FOX23" s="65"/>
      <c r="FOY23" s="65"/>
      <c r="FOZ23" s="65"/>
      <c r="FPA23" s="65"/>
      <c r="FPB23" s="65"/>
      <c r="FPC23" s="65"/>
      <c r="FPD23" s="65"/>
      <c r="FPE23" s="65"/>
      <c r="FPF23" s="65"/>
      <c r="FPG23" s="65"/>
      <c r="FPH23" s="65"/>
      <c r="FPI23" s="65"/>
      <c r="FPJ23" s="65"/>
      <c r="FPK23" s="65"/>
      <c r="FPL23" s="65"/>
      <c r="FPM23" s="65"/>
      <c r="FPN23" s="65"/>
      <c r="FPO23" s="65"/>
      <c r="FPP23" s="65"/>
      <c r="FPQ23" s="65"/>
      <c r="FPR23" s="65"/>
      <c r="FPS23" s="65"/>
      <c r="FPT23" s="65"/>
      <c r="FPU23" s="65"/>
      <c r="FPV23" s="65"/>
      <c r="FPW23" s="65"/>
      <c r="FPX23" s="65"/>
      <c r="FPY23" s="65"/>
      <c r="FPZ23" s="65"/>
      <c r="FQA23" s="65"/>
      <c r="FQB23" s="65"/>
      <c r="FQC23" s="65"/>
      <c r="FQD23" s="65"/>
      <c r="FQE23" s="65"/>
      <c r="FQF23" s="65"/>
      <c r="FQG23" s="65"/>
      <c r="FQH23" s="65"/>
      <c r="FQI23" s="65"/>
      <c r="FQJ23" s="65"/>
      <c r="FQK23" s="65"/>
      <c r="FQL23" s="65"/>
      <c r="FQM23" s="65"/>
      <c r="FQN23" s="65"/>
      <c r="FQO23" s="65"/>
      <c r="FQP23" s="65"/>
      <c r="FQQ23" s="65"/>
      <c r="FQR23" s="65"/>
      <c r="FQS23" s="65"/>
      <c r="FQT23" s="65"/>
      <c r="FQU23" s="65"/>
      <c r="FQV23" s="65"/>
      <c r="FQW23" s="65"/>
      <c r="FQX23" s="65"/>
      <c r="FQY23" s="65"/>
      <c r="FQZ23" s="65"/>
      <c r="FRA23" s="65"/>
      <c r="FRB23" s="65"/>
      <c r="FRC23" s="65"/>
      <c r="FRD23" s="65"/>
      <c r="FRE23" s="65"/>
      <c r="FRF23" s="65"/>
      <c r="FRG23" s="65"/>
      <c r="FRH23" s="65"/>
      <c r="FRI23" s="65"/>
      <c r="FRJ23" s="65"/>
      <c r="FRK23" s="65"/>
      <c r="FRL23" s="65"/>
      <c r="FRM23" s="65"/>
      <c r="FRN23" s="65"/>
      <c r="FRO23" s="65"/>
      <c r="FRP23" s="65"/>
      <c r="FRQ23" s="65"/>
      <c r="FRR23" s="65"/>
      <c r="FRS23" s="65"/>
      <c r="FRT23" s="65"/>
      <c r="FRU23" s="65"/>
      <c r="FRV23" s="65"/>
      <c r="FRW23" s="65"/>
      <c r="FRX23" s="65"/>
      <c r="FRY23" s="65"/>
      <c r="FRZ23" s="65"/>
      <c r="FSA23" s="65"/>
      <c r="FSB23" s="65"/>
      <c r="FSC23" s="65"/>
      <c r="FSD23" s="65"/>
      <c r="FSE23" s="65"/>
      <c r="FSF23" s="65"/>
      <c r="FSG23" s="65"/>
      <c r="FSH23" s="65"/>
      <c r="FSI23" s="65"/>
      <c r="FSJ23" s="65"/>
      <c r="FSK23" s="65"/>
      <c r="FSL23" s="65"/>
      <c r="FSM23" s="65"/>
      <c r="FSN23" s="65"/>
      <c r="FSO23" s="65"/>
      <c r="FSP23" s="65"/>
      <c r="FSQ23" s="65"/>
      <c r="FSR23" s="65"/>
      <c r="FSS23" s="65"/>
      <c r="FST23" s="65"/>
      <c r="FSU23" s="65"/>
      <c r="FSV23" s="65"/>
      <c r="FSW23" s="65"/>
      <c r="FSX23" s="65"/>
      <c r="FSY23" s="65"/>
      <c r="FSZ23" s="65"/>
      <c r="FTA23" s="65"/>
      <c r="FTB23" s="65"/>
      <c r="FTC23" s="65"/>
      <c r="FTD23" s="65"/>
      <c r="FTE23" s="65"/>
      <c r="FTF23" s="65"/>
      <c r="FTG23" s="65"/>
      <c r="FTH23" s="65"/>
      <c r="FTI23" s="65"/>
      <c r="FTJ23" s="65"/>
      <c r="FTK23" s="65"/>
      <c r="FTL23" s="65"/>
      <c r="FTM23" s="65"/>
      <c r="FTN23" s="65"/>
      <c r="FTO23" s="65"/>
      <c r="FTP23" s="65"/>
      <c r="FTQ23" s="65"/>
      <c r="FTR23" s="65"/>
      <c r="FTS23" s="65"/>
      <c r="FTT23" s="65"/>
      <c r="FTU23" s="65"/>
      <c r="FTV23" s="65"/>
      <c r="FTW23" s="65"/>
      <c r="FTX23" s="65"/>
      <c r="FTY23" s="65"/>
      <c r="FTZ23" s="65"/>
      <c r="FUA23" s="65"/>
      <c r="FUB23" s="65"/>
      <c r="FUC23" s="65"/>
      <c r="FUD23" s="65"/>
      <c r="FUE23" s="65"/>
      <c r="FUF23" s="65"/>
      <c r="FUG23" s="65"/>
      <c r="FUH23" s="65"/>
      <c r="FUI23" s="65"/>
      <c r="FUJ23" s="65"/>
      <c r="FUK23" s="65"/>
      <c r="FUL23" s="65"/>
      <c r="FUM23" s="65"/>
      <c r="FUN23" s="65"/>
      <c r="FUO23" s="65"/>
      <c r="FUP23" s="65"/>
      <c r="FUQ23" s="65"/>
      <c r="FUR23" s="65"/>
      <c r="FUS23" s="65"/>
      <c r="FUT23" s="65"/>
      <c r="FUU23" s="65"/>
      <c r="FUV23" s="65"/>
      <c r="FUW23" s="65"/>
      <c r="FUX23" s="65"/>
      <c r="FUY23" s="65"/>
      <c r="FUZ23" s="65"/>
      <c r="FVA23" s="65"/>
      <c r="FVB23" s="65"/>
      <c r="FVC23" s="65"/>
      <c r="FVD23" s="65"/>
      <c r="FVE23" s="65"/>
      <c r="FVF23" s="65"/>
      <c r="FVG23" s="65"/>
      <c r="FVH23" s="65"/>
      <c r="FVI23" s="65"/>
      <c r="FVJ23" s="65"/>
      <c r="FVK23" s="65"/>
      <c r="FVL23" s="65"/>
      <c r="FVM23" s="65"/>
      <c r="FVN23" s="65"/>
      <c r="FVO23" s="65"/>
      <c r="FVP23" s="65"/>
      <c r="FVQ23" s="65"/>
      <c r="FVR23" s="65"/>
      <c r="FVS23" s="65"/>
      <c r="FVT23" s="65"/>
      <c r="FVU23" s="65"/>
      <c r="FVV23" s="65"/>
      <c r="FVW23" s="65"/>
      <c r="FVX23" s="65"/>
      <c r="FVY23" s="65"/>
      <c r="FVZ23" s="65"/>
      <c r="FWA23" s="65"/>
      <c r="FWB23" s="65"/>
      <c r="FWC23" s="65"/>
      <c r="FWD23" s="65"/>
      <c r="FWE23" s="65"/>
      <c r="FWF23" s="65"/>
      <c r="FWG23" s="65"/>
      <c r="FWH23" s="65"/>
      <c r="FWI23" s="65"/>
      <c r="FWJ23" s="65"/>
      <c r="FWK23" s="65"/>
      <c r="FWL23" s="65"/>
      <c r="FWM23" s="65"/>
      <c r="FWN23" s="65"/>
      <c r="FWO23" s="65"/>
      <c r="FWP23" s="65"/>
      <c r="FWQ23" s="65"/>
      <c r="FWR23" s="65"/>
      <c r="FWS23" s="65"/>
      <c r="FWT23" s="65"/>
      <c r="FWU23" s="65"/>
      <c r="FWV23" s="65"/>
      <c r="FWW23" s="65"/>
      <c r="FWX23" s="65"/>
      <c r="FWY23" s="65"/>
      <c r="FWZ23" s="65"/>
      <c r="FXA23" s="65"/>
      <c r="FXB23" s="65"/>
      <c r="FXC23" s="65"/>
      <c r="FXD23" s="65"/>
      <c r="FXE23" s="65"/>
      <c r="FXF23" s="65"/>
      <c r="FXG23" s="65"/>
      <c r="FXH23" s="65"/>
      <c r="FXI23" s="65"/>
      <c r="FXJ23" s="65"/>
      <c r="FXK23" s="65"/>
      <c r="FXL23" s="65"/>
      <c r="FXM23" s="65"/>
      <c r="FXN23" s="65"/>
      <c r="FXO23" s="65"/>
      <c r="FXP23" s="65"/>
      <c r="FXQ23" s="65"/>
      <c r="FXR23" s="65"/>
      <c r="FXS23" s="65"/>
      <c r="FXT23" s="65"/>
      <c r="FXU23" s="65"/>
      <c r="FXV23" s="65"/>
      <c r="FXW23" s="65"/>
      <c r="FXX23" s="65"/>
      <c r="FXY23" s="65"/>
      <c r="FXZ23" s="65"/>
      <c r="FYA23" s="65"/>
      <c r="FYB23" s="65"/>
      <c r="FYC23" s="65"/>
      <c r="FYD23" s="65"/>
      <c r="FYE23" s="65"/>
      <c r="FYF23" s="65"/>
      <c r="FYG23" s="65"/>
      <c r="FYH23" s="65"/>
      <c r="FYI23" s="65"/>
      <c r="FYJ23" s="65"/>
      <c r="FYK23" s="65"/>
      <c r="FYL23" s="65"/>
      <c r="FYM23" s="65"/>
      <c r="FYN23" s="65"/>
      <c r="FYO23" s="65"/>
      <c r="FYP23" s="65"/>
      <c r="FYQ23" s="65"/>
      <c r="FYR23" s="65"/>
      <c r="FYS23" s="65"/>
      <c r="FYT23" s="65"/>
      <c r="FYU23" s="65"/>
      <c r="FYV23" s="65"/>
      <c r="FYW23" s="65"/>
      <c r="FYX23" s="65"/>
      <c r="FYY23" s="65"/>
      <c r="FYZ23" s="65"/>
      <c r="FZA23" s="65"/>
      <c r="FZB23" s="65"/>
      <c r="FZC23" s="65"/>
      <c r="FZD23" s="65"/>
      <c r="FZE23" s="65"/>
      <c r="FZF23" s="65"/>
      <c r="FZG23" s="65"/>
      <c r="FZH23" s="65"/>
      <c r="FZI23" s="65"/>
      <c r="FZJ23" s="65"/>
      <c r="FZK23" s="65"/>
      <c r="FZL23" s="65"/>
      <c r="FZM23" s="65"/>
      <c r="FZN23" s="65"/>
      <c r="FZO23" s="65"/>
      <c r="FZP23" s="65"/>
      <c r="FZQ23" s="65"/>
      <c r="FZR23" s="65"/>
      <c r="FZS23" s="65"/>
      <c r="FZT23" s="65"/>
      <c r="FZU23" s="65"/>
      <c r="FZV23" s="65"/>
      <c r="FZW23" s="65"/>
      <c r="FZX23" s="65"/>
      <c r="FZY23" s="65"/>
      <c r="FZZ23" s="65"/>
      <c r="GAA23" s="65"/>
      <c r="GAB23" s="65"/>
      <c r="GAC23" s="65"/>
      <c r="GAD23" s="65"/>
      <c r="GAE23" s="65"/>
      <c r="GAF23" s="65"/>
      <c r="GAG23" s="65"/>
      <c r="GAH23" s="65"/>
      <c r="GAI23" s="65"/>
      <c r="GAJ23" s="65"/>
      <c r="GAK23" s="65"/>
      <c r="GAL23" s="65"/>
      <c r="GAM23" s="65"/>
      <c r="GAN23" s="65"/>
      <c r="GAO23" s="65"/>
      <c r="GAP23" s="65"/>
      <c r="GAQ23" s="65"/>
      <c r="GAR23" s="65"/>
      <c r="GAS23" s="65"/>
      <c r="GAT23" s="65"/>
      <c r="GAU23" s="65"/>
      <c r="GAV23" s="65"/>
      <c r="GAW23" s="65"/>
      <c r="GAX23" s="65"/>
      <c r="GAY23" s="65"/>
      <c r="GAZ23" s="65"/>
      <c r="GBA23" s="65"/>
      <c r="GBB23" s="65"/>
      <c r="GBC23" s="65"/>
      <c r="GBD23" s="65"/>
      <c r="GBE23" s="65"/>
      <c r="GBF23" s="65"/>
      <c r="GBG23" s="65"/>
      <c r="GBH23" s="65"/>
      <c r="GBI23" s="65"/>
      <c r="GBJ23" s="65"/>
      <c r="GBK23" s="65"/>
      <c r="GBL23" s="65"/>
      <c r="GBM23" s="65"/>
      <c r="GBN23" s="65"/>
      <c r="GBO23" s="65"/>
      <c r="GBP23" s="65"/>
      <c r="GBQ23" s="65"/>
      <c r="GBR23" s="65"/>
      <c r="GBS23" s="65"/>
      <c r="GBT23" s="65"/>
      <c r="GBU23" s="65"/>
      <c r="GBV23" s="65"/>
      <c r="GBW23" s="65"/>
      <c r="GBX23" s="65"/>
      <c r="GBY23" s="65"/>
      <c r="GBZ23" s="65"/>
      <c r="GCA23" s="65"/>
      <c r="GCB23" s="65"/>
      <c r="GCC23" s="65"/>
      <c r="GCD23" s="65"/>
      <c r="GCE23" s="65"/>
      <c r="GCF23" s="65"/>
      <c r="GCG23" s="65"/>
      <c r="GCH23" s="65"/>
      <c r="GCI23" s="65"/>
      <c r="GCJ23" s="65"/>
      <c r="GCK23" s="65"/>
      <c r="GCL23" s="65"/>
      <c r="GCM23" s="65"/>
      <c r="GCN23" s="65"/>
      <c r="GCO23" s="65"/>
      <c r="GCP23" s="65"/>
      <c r="GCQ23" s="65"/>
      <c r="GCR23" s="65"/>
      <c r="GCS23" s="65"/>
      <c r="GCT23" s="65"/>
      <c r="GCU23" s="65"/>
      <c r="GCV23" s="65"/>
      <c r="GCW23" s="65"/>
      <c r="GCX23" s="65"/>
      <c r="GCY23" s="65"/>
      <c r="GCZ23" s="65"/>
      <c r="GDA23" s="65"/>
      <c r="GDB23" s="65"/>
      <c r="GDC23" s="65"/>
      <c r="GDD23" s="65"/>
      <c r="GDE23" s="65"/>
      <c r="GDF23" s="65"/>
      <c r="GDG23" s="65"/>
      <c r="GDH23" s="65"/>
      <c r="GDI23" s="65"/>
      <c r="GDJ23" s="65"/>
      <c r="GDK23" s="65"/>
      <c r="GDL23" s="65"/>
      <c r="GDM23" s="65"/>
      <c r="GDN23" s="65"/>
      <c r="GDO23" s="65"/>
      <c r="GDP23" s="65"/>
      <c r="GDQ23" s="65"/>
      <c r="GDR23" s="65"/>
      <c r="GDS23" s="65"/>
      <c r="GDT23" s="65"/>
      <c r="GDU23" s="65"/>
      <c r="GDV23" s="65"/>
      <c r="GDW23" s="65"/>
      <c r="GDX23" s="65"/>
      <c r="GDY23" s="65"/>
      <c r="GDZ23" s="65"/>
      <c r="GEA23" s="65"/>
      <c r="GEB23" s="65"/>
      <c r="GEC23" s="65"/>
      <c r="GED23" s="65"/>
      <c r="GEE23" s="65"/>
      <c r="GEF23" s="65"/>
      <c r="GEG23" s="65"/>
      <c r="GEH23" s="65"/>
      <c r="GEI23" s="65"/>
      <c r="GEJ23" s="65"/>
      <c r="GEK23" s="65"/>
      <c r="GEL23" s="65"/>
      <c r="GEM23" s="65"/>
      <c r="GEN23" s="65"/>
      <c r="GEO23" s="65"/>
      <c r="GEP23" s="65"/>
      <c r="GEQ23" s="65"/>
      <c r="GER23" s="65"/>
      <c r="GES23" s="65"/>
      <c r="GET23" s="65"/>
      <c r="GEU23" s="65"/>
      <c r="GEV23" s="65"/>
      <c r="GEW23" s="65"/>
      <c r="GEX23" s="65"/>
      <c r="GEY23" s="65"/>
      <c r="GEZ23" s="65"/>
      <c r="GFA23" s="65"/>
      <c r="GFB23" s="65"/>
      <c r="GFC23" s="65"/>
      <c r="GFD23" s="65"/>
      <c r="GFE23" s="65"/>
      <c r="GFF23" s="65"/>
      <c r="GFG23" s="65"/>
      <c r="GFH23" s="65"/>
      <c r="GFI23" s="65"/>
      <c r="GFJ23" s="65"/>
      <c r="GFK23" s="65"/>
      <c r="GFL23" s="65"/>
      <c r="GFM23" s="65"/>
      <c r="GFN23" s="65"/>
      <c r="GFO23" s="65"/>
      <c r="GFP23" s="65"/>
      <c r="GFQ23" s="65"/>
      <c r="GFR23" s="65"/>
      <c r="GFS23" s="65"/>
      <c r="GFT23" s="65"/>
      <c r="GFU23" s="65"/>
      <c r="GFV23" s="65"/>
      <c r="GFW23" s="65"/>
      <c r="GFX23" s="65"/>
      <c r="GFY23" s="65"/>
      <c r="GFZ23" s="65"/>
      <c r="GGA23" s="65"/>
      <c r="GGB23" s="65"/>
      <c r="GGC23" s="65"/>
      <c r="GGD23" s="65"/>
      <c r="GGE23" s="65"/>
      <c r="GGF23" s="65"/>
      <c r="GGG23" s="65"/>
      <c r="GGH23" s="65"/>
      <c r="GGI23" s="65"/>
      <c r="GGJ23" s="65"/>
      <c r="GGK23" s="65"/>
      <c r="GGL23" s="65"/>
      <c r="GGM23" s="65"/>
      <c r="GGN23" s="65"/>
      <c r="GGO23" s="65"/>
      <c r="GGP23" s="65"/>
      <c r="GGQ23" s="65"/>
      <c r="GGR23" s="65"/>
      <c r="GGS23" s="65"/>
      <c r="GGT23" s="65"/>
      <c r="GGU23" s="65"/>
      <c r="GGV23" s="65"/>
      <c r="GGW23" s="65"/>
      <c r="GGX23" s="65"/>
      <c r="GGY23" s="65"/>
      <c r="GGZ23" s="65"/>
      <c r="GHA23" s="65"/>
      <c r="GHB23" s="65"/>
      <c r="GHC23" s="65"/>
      <c r="GHD23" s="65"/>
      <c r="GHE23" s="65"/>
      <c r="GHF23" s="65"/>
      <c r="GHG23" s="65"/>
      <c r="GHH23" s="65"/>
      <c r="GHI23" s="65"/>
      <c r="GHJ23" s="65"/>
      <c r="GHK23" s="65"/>
      <c r="GHL23" s="65"/>
      <c r="GHM23" s="65"/>
      <c r="GHN23" s="65"/>
      <c r="GHO23" s="65"/>
      <c r="GHP23" s="65"/>
      <c r="GHQ23" s="65"/>
      <c r="GHR23" s="65"/>
      <c r="GHS23" s="65"/>
      <c r="GHT23" s="65"/>
      <c r="GHU23" s="65"/>
      <c r="GHV23" s="65"/>
      <c r="GHW23" s="65"/>
      <c r="GHX23" s="65"/>
      <c r="GHY23" s="65"/>
      <c r="GHZ23" s="65"/>
      <c r="GIA23" s="65"/>
      <c r="GIB23" s="65"/>
      <c r="GIC23" s="65"/>
      <c r="GID23" s="65"/>
      <c r="GIE23" s="65"/>
      <c r="GIF23" s="65"/>
      <c r="GIG23" s="65"/>
      <c r="GIH23" s="65"/>
      <c r="GII23" s="65"/>
      <c r="GIJ23" s="65"/>
      <c r="GIK23" s="65"/>
      <c r="GIL23" s="65"/>
      <c r="GIM23" s="65"/>
      <c r="GIN23" s="65"/>
      <c r="GIO23" s="65"/>
      <c r="GIP23" s="65"/>
      <c r="GIQ23" s="65"/>
      <c r="GIR23" s="65"/>
      <c r="GIS23" s="65"/>
      <c r="GIT23" s="65"/>
      <c r="GIU23" s="65"/>
      <c r="GIV23" s="65"/>
      <c r="GIW23" s="65"/>
      <c r="GIX23" s="65"/>
      <c r="GIY23" s="65"/>
      <c r="GIZ23" s="65"/>
      <c r="GJA23" s="65"/>
      <c r="GJB23" s="65"/>
      <c r="GJC23" s="65"/>
      <c r="GJD23" s="65"/>
      <c r="GJE23" s="65"/>
      <c r="GJF23" s="65"/>
      <c r="GJG23" s="65"/>
      <c r="GJH23" s="65"/>
      <c r="GJI23" s="65"/>
      <c r="GJJ23" s="65"/>
      <c r="GJK23" s="65"/>
      <c r="GJL23" s="65"/>
      <c r="GJM23" s="65"/>
      <c r="GJN23" s="65"/>
      <c r="GJO23" s="65"/>
      <c r="GJP23" s="65"/>
      <c r="GJQ23" s="65"/>
      <c r="GJR23" s="65"/>
      <c r="GJS23" s="65"/>
      <c r="GJT23" s="65"/>
      <c r="GJU23" s="65"/>
      <c r="GJV23" s="65"/>
      <c r="GJW23" s="65"/>
      <c r="GJX23" s="65"/>
      <c r="GJY23" s="65"/>
      <c r="GJZ23" s="65"/>
      <c r="GKA23" s="65"/>
      <c r="GKB23" s="65"/>
      <c r="GKC23" s="65"/>
      <c r="GKD23" s="65"/>
      <c r="GKE23" s="65"/>
      <c r="GKF23" s="65"/>
      <c r="GKG23" s="65"/>
      <c r="GKH23" s="65"/>
      <c r="GKI23" s="65"/>
      <c r="GKJ23" s="65"/>
      <c r="GKK23" s="65"/>
      <c r="GKL23" s="65"/>
      <c r="GKM23" s="65"/>
      <c r="GKN23" s="65"/>
      <c r="GKO23" s="65"/>
      <c r="GKP23" s="65"/>
      <c r="GKQ23" s="65"/>
      <c r="GKR23" s="65"/>
      <c r="GKS23" s="65"/>
      <c r="GKT23" s="65"/>
      <c r="GKU23" s="65"/>
      <c r="GKV23" s="65"/>
      <c r="GKW23" s="65"/>
      <c r="GKX23" s="65"/>
      <c r="GKY23" s="65"/>
      <c r="GKZ23" s="65"/>
      <c r="GLA23" s="65"/>
      <c r="GLB23" s="65"/>
      <c r="GLC23" s="65"/>
      <c r="GLD23" s="65"/>
      <c r="GLE23" s="65"/>
      <c r="GLF23" s="65"/>
      <c r="GLG23" s="65"/>
      <c r="GLH23" s="65"/>
      <c r="GLI23" s="65"/>
      <c r="GLJ23" s="65"/>
      <c r="GLK23" s="65"/>
      <c r="GLL23" s="65"/>
      <c r="GLM23" s="65"/>
      <c r="GLN23" s="65"/>
      <c r="GLO23" s="65"/>
      <c r="GLP23" s="65"/>
      <c r="GLQ23" s="65"/>
      <c r="GLR23" s="65"/>
      <c r="GLS23" s="65"/>
      <c r="GLT23" s="65"/>
      <c r="GLU23" s="65"/>
      <c r="GLV23" s="65"/>
      <c r="GLW23" s="65"/>
      <c r="GLX23" s="65"/>
      <c r="GLY23" s="65"/>
      <c r="GLZ23" s="65"/>
      <c r="GMA23" s="65"/>
      <c r="GMB23" s="65"/>
      <c r="GMC23" s="65"/>
      <c r="GMD23" s="65"/>
      <c r="GME23" s="65"/>
      <c r="GMF23" s="65"/>
      <c r="GMG23" s="65"/>
      <c r="GMH23" s="65"/>
      <c r="GMI23" s="65"/>
      <c r="GMJ23" s="65"/>
      <c r="GMK23" s="65"/>
      <c r="GML23" s="65"/>
      <c r="GMM23" s="65"/>
      <c r="GMN23" s="65"/>
      <c r="GMO23" s="65"/>
      <c r="GMP23" s="65"/>
      <c r="GMQ23" s="65"/>
      <c r="GMR23" s="65"/>
      <c r="GMS23" s="65"/>
      <c r="GMT23" s="65"/>
      <c r="GMU23" s="65"/>
      <c r="GMV23" s="65"/>
      <c r="GMW23" s="65"/>
      <c r="GMX23" s="65"/>
      <c r="GMY23" s="65"/>
      <c r="GMZ23" s="65"/>
      <c r="GNA23" s="65"/>
      <c r="GNB23" s="65"/>
      <c r="GNC23" s="65"/>
      <c r="GND23" s="65"/>
      <c r="GNE23" s="65"/>
      <c r="GNF23" s="65"/>
      <c r="GNG23" s="65"/>
      <c r="GNH23" s="65"/>
      <c r="GNI23" s="65"/>
      <c r="GNJ23" s="65"/>
      <c r="GNK23" s="65"/>
      <c r="GNL23" s="65"/>
      <c r="GNM23" s="65"/>
      <c r="GNN23" s="65"/>
      <c r="GNO23" s="65"/>
      <c r="GNP23" s="65"/>
      <c r="GNQ23" s="65"/>
      <c r="GNR23" s="65"/>
      <c r="GNS23" s="65"/>
      <c r="GNT23" s="65"/>
      <c r="GNU23" s="65"/>
      <c r="GNV23" s="65"/>
      <c r="GNW23" s="65"/>
      <c r="GNX23" s="65"/>
      <c r="GNY23" s="65"/>
      <c r="GNZ23" s="65"/>
      <c r="GOA23" s="65"/>
      <c r="GOB23" s="65"/>
      <c r="GOC23" s="65"/>
      <c r="GOD23" s="65"/>
      <c r="GOE23" s="65"/>
      <c r="GOF23" s="65"/>
      <c r="GOG23" s="65"/>
      <c r="GOH23" s="65"/>
      <c r="GOI23" s="65"/>
      <c r="GOJ23" s="65"/>
      <c r="GOK23" s="65"/>
      <c r="GOL23" s="65"/>
      <c r="GOM23" s="65"/>
      <c r="GON23" s="65"/>
      <c r="GOO23" s="65"/>
      <c r="GOP23" s="65"/>
      <c r="GOQ23" s="65"/>
      <c r="GOR23" s="65"/>
      <c r="GOS23" s="65"/>
      <c r="GOT23" s="65"/>
      <c r="GOU23" s="65"/>
      <c r="GOV23" s="65"/>
      <c r="GOW23" s="65"/>
      <c r="GOX23" s="65"/>
      <c r="GOY23" s="65"/>
      <c r="GOZ23" s="65"/>
      <c r="GPA23" s="65"/>
      <c r="GPB23" s="65"/>
      <c r="GPC23" s="65"/>
      <c r="GPD23" s="65"/>
      <c r="GPE23" s="65"/>
      <c r="GPF23" s="65"/>
      <c r="GPG23" s="65"/>
      <c r="GPH23" s="65"/>
      <c r="GPI23" s="65"/>
      <c r="GPJ23" s="65"/>
      <c r="GPK23" s="65"/>
      <c r="GPL23" s="65"/>
      <c r="GPM23" s="65"/>
      <c r="GPN23" s="65"/>
      <c r="GPO23" s="65"/>
      <c r="GPP23" s="65"/>
      <c r="GPQ23" s="65"/>
      <c r="GPR23" s="65"/>
      <c r="GPS23" s="65"/>
      <c r="GPT23" s="65"/>
      <c r="GPU23" s="65"/>
      <c r="GPV23" s="65"/>
      <c r="GPW23" s="65"/>
      <c r="GPX23" s="65"/>
      <c r="GPY23" s="65"/>
      <c r="GPZ23" s="65"/>
      <c r="GQA23" s="65"/>
      <c r="GQB23" s="65"/>
      <c r="GQC23" s="65"/>
      <c r="GQD23" s="65"/>
      <c r="GQE23" s="65"/>
      <c r="GQF23" s="65"/>
      <c r="GQG23" s="65"/>
      <c r="GQH23" s="65"/>
      <c r="GQI23" s="65"/>
      <c r="GQJ23" s="65"/>
      <c r="GQK23" s="65"/>
      <c r="GQL23" s="65"/>
      <c r="GQM23" s="65"/>
      <c r="GQN23" s="65"/>
      <c r="GQO23" s="65"/>
      <c r="GQP23" s="65"/>
      <c r="GQQ23" s="65"/>
      <c r="GQR23" s="65"/>
      <c r="GQS23" s="65"/>
      <c r="GQT23" s="65"/>
      <c r="GQU23" s="65"/>
      <c r="GQV23" s="65"/>
      <c r="GQW23" s="65"/>
      <c r="GQX23" s="65"/>
      <c r="GQY23" s="65"/>
      <c r="GQZ23" s="65"/>
      <c r="GRA23" s="65"/>
      <c r="GRB23" s="65"/>
      <c r="GRC23" s="65"/>
      <c r="GRD23" s="65"/>
      <c r="GRE23" s="65"/>
      <c r="GRF23" s="65"/>
      <c r="GRG23" s="65"/>
      <c r="GRH23" s="65"/>
      <c r="GRI23" s="65"/>
      <c r="GRJ23" s="65"/>
      <c r="GRK23" s="65"/>
      <c r="GRL23" s="65"/>
      <c r="GRM23" s="65"/>
      <c r="GRN23" s="65"/>
      <c r="GRO23" s="65"/>
      <c r="GRP23" s="65"/>
      <c r="GRQ23" s="65"/>
      <c r="GRR23" s="65"/>
      <c r="GRS23" s="65"/>
      <c r="GRT23" s="65"/>
      <c r="GRU23" s="65"/>
      <c r="GRV23" s="65"/>
      <c r="GRW23" s="65"/>
      <c r="GRX23" s="65"/>
      <c r="GRY23" s="65"/>
      <c r="GRZ23" s="65"/>
      <c r="GSA23" s="65"/>
      <c r="GSB23" s="65"/>
      <c r="GSC23" s="65"/>
      <c r="GSD23" s="65"/>
      <c r="GSE23" s="65"/>
      <c r="GSF23" s="65"/>
      <c r="GSG23" s="65"/>
      <c r="GSH23" s="65"/>
      <c r="GSI23" s="65"/>
      <c r="GSJ23" s="65"/>
      <c r="GSK23" s="65"/>
      <c r="GSL23" s="65"/>
      <c r="GSM23" s="65"/>
      <c r="GSN23" s="65"/>
      <c r="GSO23" s="65"/>
      <c r="GSP23" s="65"/>
      <c r="GSQ23" s="65"/>
      <c r="GSR23" s="65"/>
      <c r="GSS23" s="65"/>
      <c r="GST23" s="65"/>
      <c r="GSU23" s="65"/>
      <c r="GSV23" s="65"/>
      <c r="GSW23" s="65"/>
      <c r="GSX23" s="65"/>
      <c r="GSY23" s="65"/>
      <c r="GSZ23" s="65"/>
      <c r="GTA23" s="65"/>
      <c r="GTB23" s="65"/>
      <c r="GTC23" s="65"/>
      <c r="GTD23" s="65"/>
      <c r="GTE23" s="65"/>
      <c r="GTF23" s="65"/>
      <c r="GTG23" s="65"/>
      <c r="GTH23" s="65"/>
      <c r="GTI23" s="65"/>
      <c r="GTJ23" s="65"/>
      <c r="GTK23" s="65"/>
      <c r="GTL23" s="65"/>
      <c r="GTM23" s="65"/>
      <c r="GTN23" s="65"/>
      <c r="GTO23" s="65"/>
      <c r="GTP23" s="65"/>
      <c r="GTQ23" s="65"/>
      <c r="GTR23" s="65"/>
      <c r="GTS23" s="65"/>
      <c r="GTT23" s="65"/>
      <c r="GTU23" s="65"/>
      <c r="GTV23" s="65"/>
      <c r="GTW23" s="65"/>
      <c r="GTX23" s="65"/>
      <c r="GTY23" s="65"/>
      <c r="GTZ23" s="65"/>
      <c r="GUA23" s="65"/>
      <c r="GUB23" s="65"/>
      <c r="GUC23" s="65"/>
      <c r="GUD23" s="65"/>
      <c r="GUE23" s="65"/>
      <c r="GUF23" s="65"/>
      <c r="GUG23" s="65"/>
      <c r="GUH23" s="65"/>
      <c r="GUI23" s="65"/>
      <c r="GUJ23" s="65"/>
      <c r="GUK23" s="65"/>
      <c r="GUL23" s="65"/>
      <c r="GUM23" s="65"/>
      <c r="GUN23" s="65"/>
      <c r="GUO23" s="65"/>
      <c r="GUP23" s="65"/>
      <c r="GUQ23" s="65"/>
      <c r="GUR23" s="65"/>
      <c r="GUS23" s="65"/>
      <c r="GUT23" s="65"/>
      <c r="GUU23" s="65"/>
      <c r="GUV23" s="65"/>
      <c r="GUW23" s="65"/>
      <c r="GUX23" s="65"/>
      <c r="GUY23" s="65"/>
      <c r="GUZ23" s="65"/>
      <c r="GVA23" s="65"/>
      <c r="GVB23" s="65"/>
      <c r="GVC23" s="65"/>
      <c r="GVD23" s="65"/>
      <c r="GVE23" s="65"/>
      <c r="GVF23" s="65"/>
      <c r="GVG23" s="65"/>
      <c r="GVH23" s="65"/>
      <c r="GVI23" s="65"/>
      <c r="GVJ23" s="65"/>
      <c r="GVK23" s="65"/>
      <c r="GVL23" s="65"/>
      <c r="GVM23" s="65"/>
      <c r="GVN23" s="65"/>
      <c r="GVO23" s="65"/>
      <c r="GVP23" s="65"/>
      <c r="GVQ23" s="65"/>
      <c r="GVR23" s="65"/>
      <c r="GVS23" s="65"/>
      <c r="GVT23" s="65"/>
      <c r="GVU23" s="65"/>
      <c r="GVV23" s="65"/>
      <c r="GVW23" s="65"/>
      <c r="GVX23" s="65"/>
      <c r="GVY23" s="65"/>
      <c r="GVZ23" s="65"/>
      <c r="GWA23" s="65"/>
      <c r="GWB23" s="65"/>
      <c r="GWC23" s="65"/>
      <c r="GWD23" s="65"/>
      <c r="GWE23" s="65"/>
      <c r="GWF23" s="65"/>
      <c r="GWG23" s="65"/>
      <c r="GWH23" s="65"/>
      <c r="GWI23" s="65"/>
      <c r="GWJ23" s="65"/>
      <c r="GWK23" s="65"/>
      <c r="GWL23" s="65"/>
      <c r="GWM23" s="65"/>
      <c r="GWN23" s="65"/>
      <c r="GWO23" s="65"/>
      <c r="GWP23" s="65"/>
      <c r="GWQ23" s="65"/>
      <c r="GWR23" s="65"/>
      <c r="GWS23" s="65"/>
      <c r="GWT23" s="65"/>
      <c r="GWU23" s="65"/>
      <c r="GWV23" s="65"/>
      <c r="GWW23" s="65"/>
      <c r="GWX23" s="65"/>
      <c r="GWY23" s="65"/>
      <c r="GWZ23" s="65"/>
      <c r="GXA23" s="65"/>
      <c r="GXB23" s="65"/>
      <c r="GXC23" s="65"/>
      <c r="GXD23" s="65"/>
      <c r="GXE23" s="65"/>
      <c r="GXF23" s="65"/>
      <c r="GXG23" s="65"/>
      <c r="GXH23" s="65"/>
      <c r="GXI23" s="65"/>
      <c r="GXJ23" s="65"/>
      <c r="GXK23" s="65"/>
      <c r="GXL23" s="65"/>
      <c r="GXM23" s="65"/>
      <c r="GXN23" s="65"/>
      <c r="GXO23" s="65"/>
      <c r="GXP23" s="65"/>
      <c r="GXQ23" s="65"/>
      <c r="GXR23" s="65"/>
      <c r="GXS23" s="65"/>
      <c r="GXT23" s="65"/>
      <c r="GXU23" s="65"/>
      <c r="GXV23" s="65"/>
      <c r="GXW23" s="65"/>
      <c r="GXX23" s="65"/>
      <c r="GXY23" s="65"/>
      <c r="GXZ23" s="65"/>
      <c r="GYA23" s="65"/>
      <c r="GYB23" s="65"/>
      <c r="GYC23" s="65"/>
      <c r="GYD23" s="65"/>
      <c r="GYE23" s="65"/>
      <c r="GYF23" s="65"/>
      <c r="GYG23" s="65"/>
      <c r="GYH23" s="65"/>
      <c r="GYI23" s="65"/>
      <c r="GYJ23" s="65"/>
      <c r="GYK23" s="65"/>
      <c r="GYL23" s="65"/>
      <c r="GYM23" s="65"/>
      <c r="GYN23" s="65"/>
      <c r="GYO23" s="65"/>
      <c r="GYP23" s="65"/>
      <c r="GYQ23" s="65"/>
      <c r="GYR23" s="65"/>
      <c r="GYS23" s="65"/>
      <c r="GYT23" s="65"/>
      <c r="GYU23" s="65"/>
      <c r="GYV23" s="65"/>
      <c r="GYW23" s="65"/>
      <c r="GYX23" s="65"/>
      <c r="GYY23" s="65"/>
      <c r="GYZ23" s="65"/>
      <c r="GZA23" s="65"/>
      <c r="GZB23" s="65"/>
      <c r="GZC23" s="65"/>
      <c r="GZD23" s="65"/>
      <c r="GZE23" s="65"/>
      <c r="GZF23" s="65"/>
      <c r="GZG23" s="65"/>
      <c r="GZH23" s="65"/>
      <c r="GZI23" s="65"/>
      <c r="GZJ23" s="65"/>
      <c r="GZK23" s="65"/>
      <c r="GZL23" s="65"/>
      <c r="GZM23" s="65"/>
      <c r="GZN23" s="65"/>
      <c r="GZO23" s="65"/>
      <c r="GZP23" s="65"/>
      <c r="GZQ23" s="65"/>
      <c r="GZR23" s="65"/>
      <c r="GZS23" s="65"/>
      <c r="GZT23" s="65"/>
      <c r="GZU23" s="65"/>
      <c r="GZV23" s="65"/>
      <c r="GZW23" s="65"/>
      <c r="GZX23" s="65"/>
      <c r="GZY23" s="65"/>
      <c r="GZZ23" s="65"/>
      <c r="HAA23" s="65"/>
      <c r="HAB23" s="65"/>
      <c r="HAC23" s="65"/>
      <c r="HAD23" s="65"/>
      <c r="HAE23" s="65"/>
      <c r="HAF23" s="65"/>
      <c r="HAG23" s="65"/>
      <c r="HAH23" s="65"/>
      <c r="HAI23" s="65"/>
      <c r="HAJ23" s="65"/>
      <c r="HAK23" s="65"/>
      <c r="HAL23" s="65"/>
      <c r="HAM23" s="65"/>
      <c r="HAN23" s="65"/>
      <c r="HAO23" s="65"/>
      <c r="HAP23" s="65"/>
      <c r="HAQ23" s="65"/>
      <c r="HAR23" s="65"/>
      <c r="HAS23" s="65"/>
      <c r="HAT23" s="65"/>
      <c r="HAU23" s="65"/>
      <c r="HAV23" s="65"/>
      <c r="HAW23" s="65"/>
      <c r="HAX23" s="65"/>
      <c r="HAY23" s="65"/>
      <c r="HAZ23" s="65"/>
      <c r="HBA23" s="65"/>
      <c r="HBB23" s="65"/>
      <c r="HBC23" s="65"/>
      <c r="HBD23" s="65"/>
      <c r="HBE23" s="65"/>
      <c r="HBF23" s="65"/>
      <c r="HBG23" s="65"/>
      <c r="HBH23" s="65"/>
      <c r="HBI23" s="65"/>
      <c r="HBJ23" s="65"/>
      <c r="HBK23" s="65"/>
      <c r="HBL23" s="65"/>
      <c r="HBM23" s="65"/>
      <c r="HBN23" s="65"/>
      <c r="HBO23" s="65"/>
      <c r="HBP23" s="65"/>
      <c r="HBQ23" s="65"/>
      <c r="HBR23" s="65"/>
      <c r="HBS23" s="65"/>
      <c r="HBT23" s="65"/>
      <c r="HBU23" s="65"/>
      <c r="HBV23" s="65"/>
      <c r="HBW23" s="65"/>
      <c r="HBX23" s="65"/>
      <c r="HBY23" s="65"/>
      <c r="HBZ23" s="65"/>
      <c r="HCA23" s="65"/>
      <c r="HCB23" s="65"/>
      <c r="HCC23" s="65"/>
      <c r="HCD23" s="65"/>
      <c r="HCE23" s="65"/>
      <c r="HCF23" s="65"/>
      <c r="HCG23" s="65"/>
      <c r="HCH23" s="65"/>
      <c r="HCI23" s="65"/>
      <c r="HCJ23" s="65"/>
      <c r="HCK23" s="65"/>
      <c r="HCL23" s="65"/>
      <c r="HCM23" s="65"/>
      <c r="HCN23" s="65"/>
      <c r="HCO23" s="65"/>
      <c r="HCP23" s="65"/>
      <c r="HCQ23" s="65"/>
      <c r="HCR23" s="65"/>
      <c r="HCS23" s="65"/>
      <c r="HCT23" s="65"/>
      <c r="HCU23" s="65"/>
      <c r="HCV23" s="65"/>
      <c r="HCW23" s="65"/>
      <c r="HCX23" s="65"/>
      <c r="HCY23" s="65"/>
      <c r="HCZ23" s="65"/>
      <c r="HDA23" s="65"/>
      <c r="HDB23" s="65"/>
      <c r="HDC23" s="65"/>
      <c r="HDD23" s="65"/>
      <c r="HDE23" s="65"/>
      <c r="HDF23" s="65"/>
      <c r="HDG23" s="65"/>
      <c r="HDH23" s="65"/>
      <c r="HDI23" s="65"/>
      <c r="HDJ23" s="65"/>
      <c r="HDK23" s="65"/>
      <c r="HDL23" s="65"/>
      <c r="HDM23" s="65"/>
      <c r="HDN23" s="65"/>
      <c r="HDO23" s="65"/>
      <c r="HDP23" s="65"/>
      <c r="HDQ23" s="65"/>
      <c r="HDR23" s="65"/>
      <c r="HDS23" s="65"/>
      <c r="HDT23" s="65"/>
      <c r="HDU23" s="65"/>
      <c r="HDV23" s="65"/>
      <c r="HDW23" s="65"/>
      <c r="HDX23" s="65"/>
      <c r="HDY23" s="65"/>
      <c r="HDZ23" s="65"/>
      <c r="HEA23" s="65"/>
      <c r="HEB23" s="65"/>
      <c r="HEC23" s="65"/>
      <c r="HED23" s="65"/>
      <c r="HEE23" s="65"/>
      <c r="HEF23" s="65"/>
      <c r="HEG23" s="65"/>
      <c r="HEH23" s="65"/>
      <c r="HEI23" s="65"/>
      <c r="HEJ23" s="65"/>
      <c r="HEK23" s="65"/>
      <c r="HEL23" s="65"/>
      <c r="HEM23" s="65"/>
      <c r="HEN23" s="65"/>
      <c r="HEO23" s="65"/>
      <c r="HEP23" s="65"/>
      <c r="HEQ23" s="65"/>
      <c r="HER23" s="65"/>
      <c r="HES23" s="65"/>
      <c r="HET23" s="65"/>
      <c r="HEU23" s="65"/>
      <c r="HEV23" s="65"/>
      <c r="HEW23" s="65"/>
      <c r="HEX23" s="65"/>
      <c r="HEY23" s="65"/>
      <c r="HEZ23" s="65"/>
      <c r="HFA23" s="65"/>
      <c r="HFB23" s="65"/>
      <c r="HFC23" s="65"/>
      <c r="HFD23" s="65"/>
      <c r="HFE23" s="65"/>
      <c r="HFF23" s="65"/>
      <c r="HFG23" s="65"/>
      <c r="HFH23" s="65"/>
      <c r="HFI23" s="65"/>
      <c r="HFJ23" s="65"/>
      <c r="HFK23" s="65"/>
      <c r="HFL23" s="65"/>
      <c r="HFM23" s="65"/>
      <c r="HFN23" s="65"/>
      <c r="HFO23" s="65"/>
      <c r="HFP23" s="65"/>
      <c r="HFQ23" s="65"/>
      <c r="HFR23" s="65"/>
      <c r="HFS23" s="65"/>
      <c r="HFT23" s="65"/>
      <c r="HFU23" s="65"/>
      <c r="HFV23" s="65"/>
      <c r="HFW23" s="65"/>
      <c r="HFX23" s="65"/>
      <c r="HFY23" s="65"/>
      <c r="HFZ23" s="65"/>
      <c r="HGA23" s="65"/>
      <c r="HGB23" s="65"/>
      <c r="HGC23" s="65"/>
      <c r="HGD23" s="65"/>
      <c r="HGE23" s="65"/>
      <c r="HGF23" s="65"/>
      <c r="HGG23" s="65"/>
      <c r="HGH23" s="65"/>
      <c r="HGI23" s="65"/>
      <c r="HGJ23" s="65"/>
      <c r="HGK23" s="65"/>
      <c r="HGL23" s="65"/>
      <c r="HGM23" s="65"/>
      <c r="HGN23" s="65"/>
      <c r="HGO23" s="65"/>
      <c r="HGP23" s="65"/>
      <c r="HGQ23" s="65"/>
      <c r="HGR23" s="65"/>
      <c r="HGS23" s="65"/>
      <c r="HGT23" s="65"/>
      <c r="HGU23" s="65"/>
      <c r="HGV23" s="65"/>
      <c r="HGW23" s="65"/>
      <c r="HGX23" s="65"/>
      <c r="HGY23" s="65"/>
      <c r="HGZ23" s="65"/>
      <c r="HHA23" s="65"/>
      <c r="HHB23" s="65"/>
      <c r="HHC23" s="65"/>
      <c r="HHD23" s="65"/>
      <c r="HHE23" s="65"/>
      <c r="HHF23" s="65"/>
      <c r="HHG23" s="65"/>
      <c r="HHH23" s="65"/>
      <c r="HHI23" s="65"/>
      <c r="HHJ23" s="65"/>
      <c r="HHK23" s="65"/>
      <c r="HHL23" s="65"/>
      <c r="HHM23" s="65"/>
      <c r="HHN23" s="65"/>
      <c r="HHO23" s="65"/>
      <c r="HHP23" s="65"/>
      <c r="HHQ23" s="65"/>
      <c r="HHR23" s="65"/>
      <c r="HHS23" s="65"/>
      <c r="HHT23" s="65"/>
      <c r="HHU23" s="65"/>
      <c r="HHV23" s="65"/>
      <c r="HHW23" s="65"/>
      <c r="HHX23" s="65"/>
      <c r="HHY23" s="65"/>
      <c r="HHZ23" s="65"/>
      <c r="HIA23" s="65"/>
      <c r="HIB23" s="65"/>
      <c r="HIC23" s="65"/>
      <c r="HID23" s="65"/>
      <c r="HIE23" s="65"/>
      <c r="HIF23" s="65"/>
      <c r="HIG23" s="65"/>
      <c r="HIH23" s="65"/>
      <c r="HII23" s="65"/>
      <c r="HIJ23" s="65"/>
      <c r="HIK23" s="65"/>
      <c r="HIL23" s="65"/>
      <c r="HIM23" s="65"/>
      <c r="HIN23" s="65"/>
      <c r="HIO23" s="65"/>
      <c r="HIP23" s="65"/>
      <c r="HIQ23" s="65"/>
      <c r="HIR23" s="65"/>
      <c r="HIS23" s="65"/>
      <c r="HIT23" s="65"/>
      <c r="HIU23" s="65"/>
      <c r="HIV23" s="65"/>
      <c r="HIW23" s="65"/>
      <c r="HIX23" s="65"/>
      <c r="HIY23" s="65"/>
      <c r="HIZ23" s="65"/>
      <c r="HJA23" s="65"/>
      <c r="HJB23" s="65"/>
      <c r="HJC23" s="65"/>
      <c r="HJD23" s="65"/>
      <c r="HJE23" s="65"/>
      <c r="HJF23" s="65"/>
      <c r="HJG23" s="65"/>
      <c r="HJH23" s="65"/>
      <c r="HJI23" s="65"/>
      <c r="HJJ23" s="65"/>
      <c r="HJK23" s="65"/>
      <c r="HJL23" s="65"/>
      <c r="HJM23" s="65"/>
      <c r="HJN23" s="65"/>
      <c r="HJO23" s="65"/>
      <c r="HJP23" s="65"/>
      <c r="HJQ23" s="65"/>
      <c r="HJR23" s="65"/>
      <c r="HJS23" s="65"/>
      <c r="HJT23" s="65"/>
      <c r="HJU23" s="65"/>
      <c r="HJV23" s="65"/>
      <c r="HJW23" s="65"/>
      <c r="HJX23" s="65"/>
      <c r="HJY23" s="65"/>
      <c r="HJZ23" s="65"/>
      <c r="HKA23" s="65"/>
      <c r="HKB23" s="65"/>
      <c r="HKC23" s="65"/>
      <c r="HKD23" s="65"/>
      <c r="HKE23" s="65"/>
      <c r="HKF23" s="65"/>
      <c r="HKG23" s="65"/>
      <c r="HKH23" s="65"/>
      <c r="HKI23" s="65"/>
      <c r="HKJ23" s="65"/>
      <c r="HKK23" s="65"/>
      <c r="HKL23" s="65"/>
      <c r="HKM23" s="65"/>
      <c r="HKN23" s="65"/>
      <c r="HKO23" s="65"/>
      <c r="HKP23" s="65"/>
      <c r="HKQ23" s="65"/>
      <c r="HKR23" s="65"/>
      <c r="HKS23" s="65"/>
      <c r="HKT23" s="65"/>
      <c r="HKU23" s="65"/>
      <c r="HKV23" s="65"/>
      <c r="HKW23" s="65"/>
      <c r="HKX23" s="65"/>
      <c r="HKY23" s="65"/>
      <c r="HKZ23" s="65"/>
      <c r="HLA23" s="65"/>
      <c r="HLB23" s="65"/>
      <c r="HLC23" s="65"/>
      <c r="HLD23" s="65"/>
      <c r="HLE23" s="65"/>
      <c r="HLF23" s="65"/>
      <c r="HLG23" s="65"/>
      <c r="HLH23" s="65"/>
      <c r="HLI23" s="65"/>
      <c r="HLJ23" s="65"/>
      <c r="HLK23" s="65"/>
      <c r="HLL23" s="65"/>
      <c r="HLM23" s="65"/>
      <c r="HLN23" s="65"/>
      <c r="HLO23" s="65"/>
      <c r="HLP23" s="65"/>
      <c r="HLQ23" s="65"/>
      <c r="HLR23" s="65"/>
      <c r="HLS23" s="65"/>
      <c r="HLT23" s="65"/>
      <c r="HLU23" s="65"/>
      <c r="HLV23" s="65"/>
      <c r="HLW23" s="65"/>
      <c r="HLX23" s="65"/>
      <c r="HLY23" s="65"/>
      <c r="HLZ23" s="65"/>
      <c r="HMA23" s="65"/>
      <c r="HMB23" s="65"/>
      <c r="HMC23" s="65"/>
      <c r="HMD23" s="65"/>
      <c r="HME23" s="65"/>
      <c r="HMF23" s="65"/>
      <c r="HMG23" s="65"/>
      <c r="HMH23" s="65"/>
      <c r="HMI23" s="65"/>
      <c r="HMJ23" s="65"/>
      <c r="HMK23" s="65"/>
      <c r="HML23" s="65"/>
      <c r="HMM23" s="65"/>
      <c r="HMN23" s="65"/>
      <c r="HMO23" s="65"/>
      <c r="HMP23" s="65"/>
      <c r="HMQ23" s="65"/>
      <c r="HMR23" s="65"/>
      <c r="HMS23" s="65"/>
      <c r="HMT23" s="65"/>
      <c r="HMU23" s="65"/>
      <c r="HMV23" s="65"/>
      <c r="HMW23" s="65"/>
      <c r="HMX23" s="65"/>
      <c r="HMY23" s="65"/>
      <c r="HMZ23" s="65"/>
      <c r="HNA23" s="65"/>
      <c r="HNB23" s="65"/>
      <c r="HNC23" s="65"/>
      <c r="HND23" s="65"/>
      <c r="HNE23" s="65"/>
      <c r="HNF23" s="65"/>
      <c r="HNG23" s="65"/>
      <c r="HNH23" s="65"/>
      <c r="HNI23" s="65"/>
      <c r="HNJ23" s="65"/>
      <c r="HNK23" s="65"/>
      <c r="HNL23" s="65"/>
      <c r="HNM23" s="65"/>
      <c r="HNN23" s="65"/>
      <c r="HNO23" s="65"/>
      <c r="HNP23" s="65"/>
      <c r="HNQ23" s="65"/>
      <c r="HNR23" s="65"/>
      <c r="HNS23" s="65"/>
      <c r="HNT23" s="65"/>
      <c r="HNU23" s="65"/>
      <c r="HNV23" s="65"/>
      <c r="HNW23" s="65"/>
      <c r="HNX23" s="65"/>
      <c r="HNY23" s="65"/>
      <c r="HNZ23" s="65"/>
      <c r="HOA23" s="65"/>
      <c r="HOB23" s="65"/>
      <c r="HOC23" s="65"/>
      <c r="HOD23" s="65"/>
      <c r="HOE23" s="65"/>
      <c r="HOF23" s="65"/>
      <c r="HOG23" s="65"/>
      <c r="HOH23" s="65"/>
      <c r="HOI23" s="65"/>
      <c r="HOJ23" s="65"/>
      <c r="HOK23" s="65"/>
      <c r="HOL23" s="65"/>
      <c r="HOM23" s="65"/>
      <c r="HON23" s="65"/>
      <c r="HOO23" s="65"/>
      <c r="HOP23" s="65"/>
      <c r="HOQ23" s="65"/>
      <c r="HOR23" s="65"/>
      <c r="HOS23" s="65"/>
      <c r="HOT23" s="65"/>
      <c r="HOU23" s="65"/>
      <c r="HOV23" s="65"/>
      <c r="HOW23" s="65"/>
      <c r="HOX23" s="65"/>
      <c r="HOY23" s="65"/>
      <c r="HOZ23" s="65"/>
      <c r="HPA23" s="65"/>
      <c r="HPB23" s="65"/>
      <c r="HPC23" s="65"/>
      <c r="HPD23" s="65"/>
      <c r="HPE23" s="65"/>
      <c r="HPF23" s="65"/>
      <c r="HPG23" s="65"/>
      <c r="HPH23" s="65"/>
      <c r="HPI23" s="65"/>
      <c r="HPJ23" s="65"/>
      <c r="HPK23" s="65"/>
      <c r="HPL23" s="65"/>
      <c r="HPM23" s="65"/>
      <c r="HPN23" s="65"/>
      <c r="HPO23" s="65"/>
      <c r="HPP23" s="65"/>
      <c r="HPQ23" s="65"/>
      <c r="HPR23" s="65"/>
      <c r="HPS23" s="65"/>
      <c r="HPT23" s="65"/>
      <c r="HPU23" s="65"/>
      <c r="HPV23" s="65"/>
      <c r="HPW23" s="65"/>
      <c r="HPX23" s="65"/>
      <c r="HPY23" s="65"/>
      <c r="HPZ23" s="65"/>
      <c r="HQA23" s="65"/>
      <c r="HQB23" s="65"/>
      <c r="HQC23" s="65"/>
      <c r="HQD23" s="65"/>
      <c r="HQE23" s="65"/>
      <c r="HQF23" s="65"/>
      <c r="HQG23" s="65"/>
      <c r="HQH23" s="65"/>
      <c r="HQI23" s="65"/>
      <c r="HQJ23" s="65"/>
      <c r="HQK23" s="65"/>
      <c r="HQL23" s="65"/>
      <c r="HQM23" s="65"/>
      <c r="HQN23" s="65"/>
      <c r="HQO23" s="65"/>
      <c r="HQP23" s="65"/>
      <c r="HQQ23" s="65"/>
      <c r="HQR23" s="65"/>
      <c r="HQS23" s="65"/>
      <c r="HQT23" s="65"/>
      <c r="HQU23" s="65"/>
      <c r="HQV23" s="65"/>
      <c r="HQW23" s="65"/>
      <c r="HQX23" s="65"/>
      <c r="HQY23" s="65"/>
      <c r="HQZ23" s="65"/>
      <c r="HRA23" s="65"/>
      <c r="HRB23" s="65"/>
      <c r="HRC23" s="65"/>
      <c r="HRD23" s="65"/>
      <c r="HRE23" s="65"/>
      <c r="HRF23" s="65"/>
      <c r="HRG23" s="65"/>
      <c r="HRH23" s="65"/>
      <c r="HRI23" s="65"/>
      <c r="HRJ23" s="65"/>
      <c r="HRK23" s="65"/>
      <c r="HRL23" s="65"/>
      <c r="HRM23" s="65"/>
      <c r="HRN23" s="65"/>
      <c r="HRO23" s="65"/>
      <c r="HRP23" s="65"/>
      <c r="HRQ23" s="65"/>
      <c r="HRR23" s="65"/>
      <c r="HRS23" s="65"/>
      <c r="HRT23" s="65"/>
      <c r="HRU23" s="65"/>
      <c r="HRV23" s="65"/>
      <c r="HRW23" s="65"/>
      <c r="HRX23" s="65"/>
      <c r="HRY23" s="65"/>
      <c r="HRZ23" s="65"/>
      <c r="HSA23" s="65"/>
      <c r="HSB23" s="65"/>
      <c r="HSC23" s="65"/>
      <c r="HSD23" s="65"/>
      <c r="HSE23" s="65"/>
      <c r="HSF23" s="65"/>
      <c r="HSG23" s="65"/>
      <c r="HSH23" s="65"/>
      <c r="HSI23" s="65"/>
      <c r="HSJ23" s="65"/>
      <c r="HSK23" s="65"/>
      <c r="HSL23" s="65"/>
      <c r="HSM23" s="65"/>
      <c r="HSN23" s="65"/>
      <c r="HSO23" s="65"/>
      <c r="HSP23" s="65"/>
      <c r="HSQ23" s="65"/>
      <c r="HSR23" s="65"/>
      <c r="HSS23" s="65"/>
      <c r="HST23" s="65"/>
      <c r="HSU23" s="65"/>
      <c r="HSV23" s="65"/>
      <c r="HSW23" s="65"/>
      <c r="HSX23" s="65"/>
      <c r="HSY23" s="65"/>
      <c r="HSZ23" s="65"/>
      <c r="HTA23" s="65"/>
      <c r="HTB23" s="65"/>
      <c r="HTC23" s="65"/>
      <c r="HTD23" s="65"/>
      <c r="HTE23" s="65"/>
      <c r="HTF23" s="65"/>
      <c r="HTG23" s="65"/>
      <c r="HTH23" s="65"/>
      <c r="HTI23" s="65"/>
      <c r="HTJ23" s="65"/>
      <c r="HTK23" s="65"/>
      <c r="HTL23" s="65"/>
      <c r="HTM23" s="65"/>
      <c r="HTN23" s="65"/>
      <c r="HTO23" s="65"/>
      <c r="HTP23" s="65"/>
      <c r="HTQ23" s="65"/>
      <c r="HTR23" s="65"/>
      <c r="HTS23" s="65"/>
      <c r="HTT23" s="65"/>
      <c r="HTU23" s="65"/>
      <c r="HTV23" s="65"/>
      <c r="HTW23" s="65"/>
      <c r="HTX23" s="65"/>
      <c r="HTY23" s="65"/>
      <c r="HTZ23" s="65"/>
      <c r="HUA23" s="65"/>
      <c r="HUB23" s="65"/>
      <c r="HUC23" s="65"/>
      <c r="HUD23" s="65"/>
      <c r="HUE23" s="65"/>
      <c r="HUF23" s="65"/>
      <c r="HUG23" s="65"/>
      <c r="HUH23" s="65"/>
      <c r="HUI23" s="65"/>
      <c r="HUJ23" s="65"/>
      <c r="HUK23" s="65"/>
      <c r="HUL23" s="65"/>
      <c r="HUM23" s="65"/>
      <c r="HUN23" s="65"/>
      <c r="HUO23" s="65"/>
      <c r="HUP23" s="65"/>
      <c r="HUQ23" s="65"/>
      <c r="HUR23" s="65"/>
      <c r="HUS23" s="65"/>
      <c r="HUT23" s="65"/>
      <c r="HUU23" s="65"/>
      <c r="HUV23" s="65"/>
      <c r="HUW23" s="65"/>
      <c r="HUX23" s="65"/>
      <c r="HUY23" s="65"/>
      <c r="HUZ23" s="65"/>
      <c r="HVA23" s="65"/>
      <c r="HVB23" s="65"/>
      <c r="HVC23" s="65"/>
      <c r="HVD23" s="65"/>
      <c r="HVE23" s="65"/>
      <c r="HVF23" s="65"/>
      <c r="HVG23" s="65"/>
      <c r="HVH23" s="65"/>
      <c r="HVI23" s="65"/>
      <c r="HVJ23" s="65"/>
      <c r="HVK23" s="65"/>
      <c r="HVL23" s="65"/>
      <c r="HVM23" s="65"/>
      <c r="HVN23" s="65"/>
      <c r="HVO23" s="65"/>
      <c r="HVP23" s="65"/>
      <c r="HVQ23" s="65"/>
      <c r="HVR23" s="65"/>
      <c r="HVS23" s="65"/>
      <c r="HVT23" s="65"/>
      <c r="HVU23" s="65"/>
      <c r="HVV23" s="65"/>
      <c r="HVW23" s="65"/>
      <c r="HVX23" s="65"/>
      <c r="HVY23" s="65"/>
      <c r="HVZ23" s="65"/>
      <c r="HWA23" s="65"/>
      <c r="HWB23" s="65"/>
      <c r="HWC23" s="65"/>
      <c r="HWD23" s="65"/>
      <c r="HWE23" s="65"/>
      <c r="HWF23" s="65"/>
      <c r="HWG23" s="65"/>
      <c r="HWH23" s="65"/>
      <c r="HWI23" s="65"/>
      <c r="HWJ23" s="65"/>
      <c r="HWK23" s="65"/>
      <c r="HWL23" s="65"/>
      <c r="HWM23" s="65"/>
      <c r="HWN23" s="65"/>
      <c r="HWO23" s="65"/>
      <c r="HWP23" s="65"/>
      <c r="HWQ23" s="65"/>
      <c r="HWR23" s="65"/>
      <c r="HWS23" s="65"/>
      <c r="HWT23" s="65"/>
      <c r="HWU23" s="65"/>
      <c r="HWV23" s="65"/>
      <c r="HWW23" s="65"/>
      <c r="HWX23" s="65"/>
      <c r="HWY23" s="65"/>
      <c r="HWZ23" s="65"/>
      <c r="HXA23" s="65"/>
      <c r="HXB23" s="65"/>
      <c r="HXC23" s="65"/>
      <c r="HXD23" s="65"/>
      <c r="HXE23" s="65"/>
      <c r="HXF23" s="65"/>
      <c r="HXG23" s="65"/>
      <c r="HXH23" s="65"/>
      <c r="HXI23" s="65"/>
      <c r="HXJ23" s="65"/>
      <c r="HXK23" s="65"/>
      <c r="HXL23" s="65"/>
      <c r="HXM23" s="65"/>
      <c r="HXN23" s="65"/>
      <c r="HXO23" s="65"/>
      <c r="HXP23" s="65"/>
      <c r="HXQ23" s="65"/>
      <c r="HXR23" s="65"/>
      <c r="HXS23" s="65"/>
      <c r="HXT23" s="65"/>
      <c r="HXU23" s="65"/>
      <c r="HXV23" s="65"/>
      <c r="HXW23" s="65"/>
      <c r="HXX23" s="65"/>
      <c r="HXY23" s="65"/>
      <c r="HXZ23" s="65"/>
      <c r="HYA23" s="65"/>
      <c r="HYB23" s="65"/>
      <c r="HYC23" s="65"/>
      <c r="HYD23" s="65"/>
      <c r="HYE23" s="65"/>
      <c r="HYF23" s="65"/>
      <c r="HYG23" s="65"/>
      <c r="HYH23" s="65"/>
      <c r="HYI23" s="65"/>
      <c r="HYJ23" s="65"/>
      <c r="HYK23" s="65"/>
      <c r="HYL23" s="65"/>
      <c r="HYM23" s="65"/>
      <c r="HYN23" s="65"/>
      <c r="HYO23" s="65"/>
      <c r="HYP23" s="65"/>
      <c r="HYQ23" s="65"/>
      <c r="HYR23" s="65"/>
      <c r="HYS23" s="65"/>
      <c r="HYT23" s="65"/>
      <c r="HYU23" s="65"/>
      <c r="HYV23" s="65"/>
      <c r="HYW23" s="65"/>
      <c r="HYX23" s="65"/>
      <c r="HYY23" s="65"/>
      <c r="HYZ23" s="65"/>
      <c r="HZA23" s="65"/>
      <c r="HZB23" s="65"/>
      <c r="HZC23" s="65"/>
      <c r="HZD23" s="65"/>
      <c r="HZE23" s="65"/>
      <c r="HZF23" s="65"/>
      <c r="HZG23" s="65"/>
      <c r="HZH23" s="65"/>
      <c r="HZI23" s="65"/>
      <c r="HZJ23" s="65"/>
      <c r="HZK23" s="65"/>
      <c r="HZL23" s="65"/>
      <c r="HZM23" s="65"/>
      <c r="HZN23" s="65"/>
      <c r="HZO23" s="65"/>
      <c r="HZP23" s="65"/>
      <c r="HZQ23" s="65"/>
      <c r="HZR23" s="65"/>
      <c r="HZS23" s="65"/>
      <c r="HZT23" s="65"/>
      <c r="HZU23" s="65"/>
      <c r="HZV23" s="65"/>
      <c r="HZW23" s="65"/>
      <c r="HZX23" s="65"/>
      <c r="HZY23" s="65"/>
      <c r="HZZ23" s="65"/>
      <c r="IAA23" s="65"/>
      <c r="IAB23" s="65"/>
      <c r="IAC23" s="65"/>
      <c r="IAD23" s="65"/>
      <c r="IAE23" s="65"/>
      <c r="IAF23" s="65"/>
      <c r="IAG23" s="65"/>
      <c r="IAH23" s="65"/>
      <c r="IAI23" s="65"/>
      <c r="IAJ23" s="65"/>
      <c r="IAK23" s="65"/>
      <c r="IAL23" s="65"/>
      <c r="IAM23" s="65"/>
      <c r="IAN23" s="65"/>
      <c r="IAO23" s="65"/>
      <c r="IAP23" s="65"/>
      <c r="IAQ23" s="65"/>
      <c r="IAR23" s="65"/>
      <c r="IAS23" s="65"/>
      <c r="IAT23" s="65"/>
      <c r="IAU23" s="65"/>
      <c r="IAV23" s="65"/>
      <c r="IAW23" s="65"/>
      <c r="IAX23" s="65"/>
      <c r="IAY23" s="65"/>
      <c r="IAZ23" s="65"/>
      <c r="IBA23" s="65"/>
      <c r="IBB23" s="65"/>
      <c r="IBC23" s="65"/>
      <c r="IBD23" s="65"/>
      <c r="IBE23" s="65"/>
      <c r="IBF23" s="65"/>
      <c r="IBG23" s="65"/>
      <c r="IBH23" s="65"/>
      <c r="IBI23" s="65"/>
      <c r="IBJ23" s="65"/>
      <c r="IBK23" s="65"/>
      <c r="IBL23" s="65"/>
      <c r="IBM23" s="65"/>
      <c r="IBN23" s="65"/>
      <c r="IBO23" s="65"/>
      <c r="IBP23" s="65"/>
      <c r="IBQ23" s="65"/>
      <c r="IBR23" s="65"/>
      <c r="IBS23" s="65"/>
      <c r="IBT23" s="65"/>
      <c r="IBU23" s="65"/>
      <c r="IBV23" s="65"/>
      <c r="IBW23" s="65"/>
      <c r="IBX23" s="65"/>
      <c r="IBY23" s="65"/>
      <c r="IBZ23" s="65"/>
      <c r="ICA23" s="65"/>
      <c r="ICB23" s="65"/>
      <c r="ICC23" s="65"/>
      <c r="ICD23" s="65"/>
      <c r="ICE23" s="65"/>
      <c r="ICF23" s="65"/>
      <c r="ICG23" s="65"/>
      <c r="ICH23" s="65"/>
      <c r="ICI23" s="65"/>
      <c r="ICJ23" s="65"/>
      <c r="ICK23" s="65"/>
      <c r="ICL23" s="65"/>
      <c r="ICM23" s="65"/>
      <c r="ICN23" s="65"/>
      <c r="ICO23" s="65"/>
      <c r="ICP23" s="65"/>
      <c r="ICQ23" s="65"/>
      <c r="ICR23" s="65"/>
      <c r="ICS23" s="65"/>
      <c r="ICT23" s="65"/>
      <c r="ICU23" s="65"/>
      <c r="ICV23" s="65"/>
      <c r="ICW23" s="65"/>
      <c r="ICX23" s="65"/>
      <c r="ICY23" s="65"/>
      <c r="ICZ23" s="65"/>
      <c r="IDA23" s="65"/>
      <c r="IDB23" s="65"/>
      <c r="IDC23" s="65"/>
      <c r="IDD23" s="65"/>
      <c r="IDE23" s="65"/>
      <c r="IDF23" s="65"/>
      <c r="IDG23" s="65"/>
      <c r="IDH23" s="65"/>
      <c r="IDI23" s="65"/>
      <c r="IDJ23" s="65"/>
      <c r="IDK23" s="65"/>
      <c r="IDL23" s="65"/>
      <c r="IDM23" s="65"/>
      <c r="IDN23" s="65"/>
      <c r="IDO23" s="65"/>
      <c r="IDP23" s="65"/>
      <c r="IDQ23" s="65"/>
      <c r="IDR23" s="65"/>
      <c r="IDS23" s="65"/>
      <c r="IDT23" s="65"/>
      <c r="IDU23" s="65"/>
      <c r="IDV23" s="65"/>
      <c r="IDW23" s="65"/>
      <c r="IDX23" s="65"/>
      <c r="IDY23" s="65"/>
      <c r="IDZ23" s="65"/>
      <c r="IEA23" s="65"/>
      <c r="IEB23" s="65"/>
      <c r="IEC23" s="65"/>
      <c r="IED23" s="65"/>
      <c r="IEE23" s="65"/>
      <c r="IEF23" s="65"/>
      <c r="IEG23" s="65"/>
      <c r="IEH23" s="65"/>
      <c r="IEI23" s="65"/>
      <c r="IEJ23" s="65"/>
      <c r="IEK23" s="65"/>
      <c r="IEL23" s="65"/>
      <c r="IEM23" s="65"/>
      <c r="IEN23" s="65"/>
      <c r="IEO23" s="65"/>
      <c r="IEP23" s="65"/>
      <c r="IEQ23" s="65"/>
      <c r="IER23" s="65"/>
      <c r="IES23" s="65"/>
      <c r="IET23" s="65"/>
      <c r="IEU23" s="65"/>
      <c r="IEV23" s="65"/>
      <c r="IEW23" s="65"/>
      <c r="IEX23" s="65"/>
      <c r="IEY23" s="65"/>
      <c r="IEZ23" s="65"/>
      <c r="IFA23" s="65"/>
      <c r="IFB23" s="65"/>
      <c r="IFC23" s="65"/>
      <c r="IFD23" s="65"/>
      <c r="IFE23" s="65"/>
      <c r="IFF23" s="65"/>
      <c r="IFG23" s="65"/>
      <c r="IFH23" s="65"/>
      <c r="IFI23" s="65"/>
      <c r="IFJ23" s="65"/>
      <c r="IFK23" s="65"/>
      <c r="IFL23" s="65"/>
      <c r="IFM23" s="65"/>
      <c r="IFN23" s="65"/>
      <c r="IFO23" s="65"/>
      <c r="IFP23" s="65"/>
      <c r="IFQ23" s="65"/>
      <c r="IFR23" s="65"/>
      <c r="IFS23" s="65"/>
      <c r="IFT23" s="65"/>
      <c r="IFU23" s="65"/>
      <c r="IFV23" s="65"/>
      <c r="IFW23" s="65"/>
      <c r="IFX23" s="65"/>
      <c r="IFY23" s="65"/>
      <c r="IFZ23" s="65"/>
      <c r="IGA23" s="65"/>
      <c r="IGB23" s="65"/>
      <c r="IGC23" s="65"/>
      <c r="IGD23" s="65"/>
      <c r="IGE23" s="65"/>
      <c r="IGF23" s="65"/>
      <c r="IGG23" s="65"/>
      <c r="IGH23" s="65"/>
      <c r="IGI23" s="65"/>
      <c r="IGJ23" s="65"/>
      <c r="IGK23" s="65"/>
      <c r="IGL23" s="65"/>
      <c r="IGM23" s="65"/>
      <c r="IGN23" s="65"/>
      <c r="IGO23" s="65"/>
      <c r="IGP23" s="65"/>
      <c r="IGQ23" s="65"/>
      <c r="IGR23" s="65"/>
      <c r="IGS23" s="65"/>
      <c r="IGT23" s="65"/>
      <c r="IGU23" s="65"/>
      <c r="IGV23" s="65"/>
      <c r="IGW23" s="65"/>
      <c r="IGX23" s="65"/>
      <c r="IGY23" s="65"/>
      <c r="IGZ23" s="65"/>
      <c r="IHA23" s="65"/>
      <c r="IHB23" s="65"/>
      <c r="IHC23" s="65"/>
      <c r="IHD23" s="65"/>
      <c r="IHE23" s="65"/>
      <c r="IHF23" s="65"/>
      <c r="IHG23" s="65"/>
      <c r="IHH23" s="65"/>
      <c r="IHI23" s="65"/>
      <c r="IHJ23" s="65"/>
      <c r="IHK23" s="65"/>
      <c r="IHL23" s="65"/>
      <c r="IHM23" s="65"/>
      <c r="IHN23" s="65"/>
      <c r="IHO23" s="65"/>
      <c r="IHP23" s="65"/>
      <c r="IHQ23" s="65"/>
      <c r="IHR23" s="65"/>
      <c r="IHS23" s="65"/>
      <c r="IHT23" s="65"/>
      <c r="IHU23" s="65"/>
      <c r="IHV23" s="65"/>
      <c r="IHW23" s="65"/>
      <c r="IHX23" s="65"/>
      <c r="IHY23" s="65"/>
      <c r="IHZ23" s="65"/>
      <c r="IIA23" s="65"/>
      <c r="IIB23" s="65"/>
      <c r="IIC23" s="65"/>
      <c r="IID23" s="65"/>
      <c r="IIE23" s="65"/>
      <c r="IIF23" s="65"/>
      <c r="IIG23" s="65"/>
      <c r="IIH23" s="65"/>
      <c r="III23" s="65"/>
      <c r="IIJ23" s="65"/>
      <c r="IIK23" s="65"/>
      <c r="IIL23" s="65"/>
      <c r="IIM23" s="65"/>
      <c r="IIN23" s="65"/>
      <c r="IIO23" s="65"/>
      <c r="IIP23" s="65"/>
      <c r="IIQ23" s="65"/>
      <c r="IIR23" s="65"/>
      <c r="IIS23" s="65"/>
      <c r="IIT23" s="65"/>
      <c r="IIU23" s="65"/>
      <c r="IIV23" s="65"/>
      <c r="IIW23" s="65"/>
      <c r="IIX23" s="65"/>
      <c r="IIY23" s="65"/>
      <c r="IIZ23" s="65"/>
      <c r="IJA23" s="65"/>
      <c r="IJB23" s="65"/>
      <c r="IJC23" s="65"/>
      <c r="IJD23" s="65"/>
      <c r="IJE23" s="65"/>
      <c r="IJF23" s="65"/>
      <c r="IJG23" s="65"/>
      <c r="IJH23" s="65"/>
      <c r="IJI23" s="65"/>
      <c r="IJJ23" s="65"/>
      <c r="IJK23" s="65"/>
      <c r="IJL23" s="65"/>
      <c r="IJM23" s="65"/>
      <c r="IJN23" s="65"/>
      <c r="IJO23" s="65"/>
      <c r="IJP23" s="65"/>
      <c r="IJQ23" s="65"/>
      <c r="IJR23" s="65"/>
      <c r="IJS23" s="65"/>
      <c r="IJT23" s="65"/>
      <c r="IJU23" s="65"/>
      <c r="IJV23" s="65"/>
      <c r="IJW23" s="65"/>
      <c r="IJX23" s="65"/>
      <c r="IJY23" s="65"/>
      <c r="IJZ23" s="65"/>
      <c r="IKA23" s="65"/>
      <c r="IKB23" s="65"/>
      <c r="IKC23" s="65"/>
      <c r="IKD23" s="65"/>
      <c r="IKE23" s="65"/>
      <c r="IKF23" s="65"/>
      <c r="IKG23" s="65"/>
      <c r="IKH23" s="65"/>
      <c r="IKI23" s="65"/>
      <c r="IKJ23" s="65"/>
      <c r="IKK23" s="65"/>
      <c r="IKL23" s="65"/>
      <c r="IKM23" s="65"/>
      <c r="IKN23" s="65"/>
      <c r="IKO23" s="65"/>
      <c r="IKP23" s="65"/>
      <c r="IKQ23" s="65"/>
      <c r="IKR23" s="65"/>
      <c r="IKS23" s="65"/>
      <c r="IKT23" s="65"/>
      <c r="IKU23" s="65"/>
      <c r="IKV23" s="65"/>
      <c r="IKW23" s="65"/>
      <c r="IKX23" s="65"/>
      <c r="IKY23" s="65"/>
      <c r="IKZ23" s="65"/>
      <c r="ILA23" s="65"/>
      <c r="ILB23" s="65"/>
      <c r="ILC23" s="65"/>
      <c r="ILD23" s="65"/>
      <c r="ILE23" s="65"/>
      <c r="ILF23" s="65"/>
      <c r="ILG23" s="65"/>
      <c r="ILH23" s="65"/>
      <c r="ILI23" s="65"/>
      <c r="ILJ23" s="65"/>
      <c r="ILK23" s="65"/>
      <c r="ILL23" s="65"/>
      <c r="ILM23" s="65"/>
      <c r="ILN23" s="65"/>
      <c r="ILO23" s="65"/>
      <c r="ILP23" s="65"/>
      <c r="ILQ23" s="65"/>
      <c r="ILR23" s="65"/>
      <c r="ILS23" s="65"/>
      <c r="ILT23" s="65"/>
      <c r="ILU23" s="65"/>
      <c r="ILV23" s="65"/>
      <c r="ILW23" s="65"/>
      <c r="ILX23" s="65"/>
      <c r="ILY23" s="65"/>
      <c r="ILZ23" s="65"/>
      <c r="IMA23" s="65"/>
      <c r="IMB23" s="65"/>
      <c r="IMC23" s="65"/>
      <c r="IMD23" s="65"/>
      <c r="IME23" s="65"/>
      <c r="IMF23" s="65"/>
      <c r="IMG23" s="65"/>
      <c r="IMH23" s="65"/>
      <c r="IMI23" s="65"/>
      <c r="IMJ23" s="65"/>
      <c r="IMK23" s="65"/>
      <c r="IML23" s="65"/>
      <c r="IMM23" s="65"/>
      <c r="IMN23" s="65"/>
      <c r="IMO23" s="65"/>
      <c r="IMP23" s="65"/>
      <c r="IMQ23" s="65"/>
      <c r="IMR23" s="65"/>
      <c r="IMS23" s="65"/>
      <c r="IMT23" s="65"/>
      <c r="IMU23" s="65"/>
      <c r="IMV23" s="65"/>
      <c r="IMW23" s="65"/>
      <c r="IMX23" s="65"/>
      <c r="IMY23" s="65"/>
      <c r="IMZ23" s="65"/>
      <c r="INA23" s="65"/>
      <c r="INB23" s="65"/>
      <c r="INC23" s="65"/>
      <c r="IND23" s="65"/>
      <c r="INE23" s="65"/>
      <c r="INF23" s="65"/>
      <c r="ING23" s="65"/>
      <c r="INH23" s="65"/>
      <c r="INI23" s="65"/>
      <c r="INJ23" s="65"/>
      <c r="INK23" s="65"/>
      <c r="INL23" s="65"/>
      <c r="INM23" s="65"/>
      <c r="INN23" s="65"/>
      <c r="INO23" s="65"/>
      <c r="INP23" s="65"/>
      <c r="INQ23" s="65"/>
      <c r="INR23" s="65"/>
      <c r="INS23" s="65"/>
      <c r="INT23" s="65"/>
      <c r="INU23" s="65"/>
      <c r="INV23" s="65"/>
      <c r="INW23" s="65"/>
      <c r="INX23" s="65"/>
      <c r="INY23" s="65"/>
      <c r="INZ23" s="65"/>
      <c r="IOA23" s="65"/>
      <c r="IOB23" s="65"/>
      <c r="IOC23" s="65"/>
      <c r="IOD23" s="65"/>
      <c r="IOE23" s="65"/>
      <c r="IOF23" s="65"/>
      <c r="IOG23" s="65"/>
      <c r="IOH23" s="65"/>
      <c r="IOI23" s="65"/>
      <c r="IOJ23" s="65"/>
      <c r="IOK23" s="65"/>
      <c r="IOL23" s="65"/>
      <c r="IOM23" s="65"/>
      <c r="ION23" s="65"/>
      <c r="IOO23" s="65"/>
      <c r="IOP23" s="65"/>
      <c r="IOQ23" s="65"/>
      <c r="IOR23" s="65"/>
      <c r="IOS23" s="65"/>
      <c r="IOT23" s="65"/>
      <c r="IOU23" s="65"/>
      <c r="IOV23" s="65"/>
      <c r="IOW23" s="65"/>
      <c r="IOX23" s="65"/>
      <c r="IOY23" s="65"/>
      <c r="IOZ23" s="65"/>
      <c r="IPA23" s="65"/>
      <c r="IPB23" s="65"/>
      <c r="IPC23" s="65"/>
      <c r="IPD23" s="65"/>
      <c r="IPE23" s="65"/>
      <c r="IPF23" s="65"/>
      <c r="IPG23" s="65"/>
      <c r="IPH23" s="65"/>
      <c r="IPI23" s="65"/>
      <c r="IPJ23" s="65"/>
      <c r="IPK23" s="65"/>
      <c r="IPL23" s="65"/>
      <c r="IPM23" s="65"/>
      <c r="IPN23" s="65"/>
      <c r="IPO23" s="65"/>
      <c r="IPP23" s="65"/>
      <c r="IPQ23" s="65"/>
      <c r="IPR23" s="65"/>
      <c r="IPS23" s="65"/>
      <c r="IPT23" s="65"/>
      <c r="IPU23" s="65"/>
      <c r="IPV23" s="65"/>
      <c r="IPW23" s="65"/>
      <c r="IPX23" s="65"/>
      <c r="IPY23" s="65"/>
      <c r="IPZ23" s="65"/>
      <c r="IQA23" s="65"/>
      <c r="IQB23" s="65"/>
      <c r="IQC23" s="65"/>
      <c r="IQD23" s="65"/>
      <c r="IQE23" s="65"/>
      <c r="IQF23" s="65"/>
      <c r="IQG23" s="65"/>
      <c r="IQH23" s="65"/>
      <c r="IQI23" s="65"/>
      <c r="IQJ23" s="65"/>
      <c r="IQK23" s="65"/>
      <c r="IQL23" s="65"/>
      <c r="IQM23" s="65"/>
      <c r="IQN23" s="65"/>
      <c r="IQO23" s="65"/>
      <c r="IQP23" s="65"/>
      <c r="IQQ23" s="65"/>
      <c r="IQR23" s="65"/>
      <c r="IQS23" s="65"/>
      <c r="IQT23" s="65"/>
      <c r="IQU23" s="65"/>
      <c r="IQV23" s="65"/>
      <c r="IQW23" s="65"/>
      <c r="IQX23" s="65"/>
      <c r="IQY23" s="65"/>
      <c r="IQZ23" s="65"/>
      <c r="IRA23" s="65"/>
      <c r="IRB23" s="65"/>
      <c r="IRC23" s="65"/>
      <c r="IRD23" s="65"/>
      <c r="IRE23" s="65"/>
      <c r="IRF23" s="65"/>
      <c r="IRG23" s="65"/>
      <c r="IRH23" s="65"/>
      <c r="IRI23" s="65"/>
      <c r="IRJ23" s="65"/>
      <c r="IRK23" s="65"/>
      <c r="IRL23" s="65"/>
      <c r="IRM23" s="65"/>
      <c r="IRN23" s="65"/>
      <c r="IRO23" s="65"/>
      <c r="IRP23" s="65"/>
      <c r="IRQ23" s="65"/>
      <c r="IRR23" s="65"/>
      <c r="IRS23" s="65"/>
      <c r="IRT23" s="65"/>
      <c r="IRU23" s="65"/>
      <c r="IRV23" s="65"/>
      <c r="IRW23" s="65"/>
      <c r="IRX23" s="65"/>
      <c r="IRY23" s="65"/>
      <c r="IRZ23" s="65"/>
      <c r="ISA23" s="65"/>
      <c r="ISB23" s="65"/>
      <c r="ISC23" s="65"/>
      <c r="ISD23" s="65"/>
      <c r="ISE23" s="65"/>
      <c r="ISF23" s="65"/>
      <c r="ISG23" s="65"/>
      <c r="ISH23" s="65"/>
      <c r="ISI23" s="65"/>
      <c r="ISJ23" s="65"/>
      <c r="ISK23" s="65"/>
      <c r="ISL23" s="65"/>
      <c r="ISM23" s="65"/>
      <c r="ISN23" s="65"/>
      <c r="ISO23" s="65"/>
      <c r="ISP23" s="65"/>
      <c r="ISQ23" s="65"/>
      <c r="ISR23" s="65"/>
      <c r="ISS23" s="65"/>
      <c r="IST23" s="65"/>
      <c r="ISU23" s="65"/>
      <c r="ISV23" s="65"/>
      <c r="ISW23" s="65"/>
      <c r="ISX23" s="65"/>
      <c r="ISY23" s="65"/>
      <c r="ISZ23" s="65"/>
      <c r="ITA23" s="65"/>
      <c r="ITB23" s="65"/>
      <c r="ITC23" s="65"/>
      <c r="ITD23" s="65"/>
      <c r="ITE23" s="65"/>
      <c r="ITF23" s="65"/>
      <c r="ITG23" s="65"/>
      <c r="ITH23" s="65"/>
      <c r="ITI23" s="65"/>
      <c r="ITJ23" s="65"/>
      <c r="ITK23" s="65"/>
      <c r="ITL23" s="65"/>
      <c r="ITM23" s="65"/>
      <c r="ITN23" s="65"/>
      <c r="ITO23" s="65"/>
      <c r="ITP23" s="65"/>
      <c r="ITQ23" s="65"/>
      <c r="ITR23" s="65"/>
      <c r="ITS23" s="65"/>
      <c r="ITT23" s="65"/>
      <c r="ITU23" s="65"/>
      <c r="ITV23" s="65"/>
      <c r="ITW23" s="65"/>
      <c r="ITX23" s="65"/>
      <c r="ITY23" s="65"/>
      <c r="ITZ23" s="65"/>
      <c r="IUA23" s="65"/>
      <c r="IUB23" s="65"/>
      <c r="IUC23" s="65"/>
      <c r="IUD23" s="65"/>
      <c r="IUE23" s="65"/>
      <c r="IUF23" s="65"/>
      <c r="IUG23" s="65"/>
      <c r="IUH23" s="65"/>
      <c r="IUI23" s="65"/>
      <c r="IUJ23" s="65"/>
      <c r="IUK23" s="65"/>
      <c r="IUL23" s="65"/>
      <c r="IUM23" s="65"/>
      <c r="IUN23" s="65"/>
      <c r="IUO23" s="65"/>
      <c r="IUP23" s="65"/>
      <c r="IUQ23" s="65"/>
      <c r="IUR23" s="65"/>
      <c r="IUS23" s="65"/>
      <c r="IUT23" s="65"/>
      <c r="IUU23" s="65"/>
      <c r="IUV23" s="65"/>
      <c r="IUW23" s="65"/>
      <c r="IUX23" s="65"/>
      <c r="IUY23" s="65"/>
      <c r="IUZ23" s="65"/>
      <c r="IVA23" s="65"/>
      <c r="IVB23" s="65"/>
      <c r="IVC23" s="65"/>
      <c r="IVD23" s="65"/>
      <c r="IVE23" s="65"/>
      <c r="IVF23" s="65"/>
      <c r="IVG23" s="65"/>
      <c r="IVH23" s="65"/>
      <c r="IVI23" s="65"/>
      <c r="IVJ23" s="65"/>
      <c r="IVK23" s="65"/>
      <c r="IVL23" s="65"/>
      <c r="IVM23" s="65"/>
      <c r="IVN23" s="65"/>
      <c r="IVO23" s="65"/>
      <c r="IVP23" s="65"/>
      <c r="IVQ23" s="65"/>
      <c r="IVR23" s="65"/>
      <c r="IVS23" s="65"/>
      <c r="IVT23" s="65"/>
      <c r="IVU23" s="65"/>
      <c r="IVV23" s="65"/>
      <c r="IVW23" s="65"/>
      <c r="IVX23" s="65"/>
      <c r="IVY23" s="65"/>
      <c r="IVZ23" s="65"/>
      <c r="IWA23" s="65"/>
      <c r="IWB23" s="65"/>
      <c r="IWC23" s="65"/>
      <c r="IWD23" s="65"/>
      <c r="IWE23" s="65"/>
      <c r="IWF23" s="65"/>
      <c r="IWG23" s="65"/>
      <c r="IWH23" s="65"/>
      <c r="IWI23" s="65"/>
      <c r="IWJ23" s="65"/>
      <c r="IWK23" s="65"/>
      <c r="IWL23" s="65"/>
      <c r="IWM23" s="65"/>
      <c r="IWN23" s="65"/>
      <c r="IWO23" s="65"/>
      <c r="IWP23" s="65"/>
      <c r="IWQ23" s="65"/>
      <c r="IWR23" s="65"/>
      <c r="IWS23" s="65"/>
      <c r="IWT23" s="65"/>
      <c r="IWU23" s="65"/>
      <c r="IWV23" s="65"/>
      <c r="IWW23" s="65"/>
      <c r="IWX23" s="65"/>
      <c r="IWY23" s="65"/>
      <c r="IWZ23" s="65"/>
      <c r="IXA23" s="65"/>
      <c r="IXB23" s="65"/>
      <c r="IXC23" s="65"/>
      <c r="IXD23" s="65"/>
      <c r="IXE23" s="65"/>
      <c r="IXF23" s="65"/>
      <c r="IXG23" s="65"/>
      <c r="IXH23" s="65"/>
      <c r="IXI23" s="65"/>
      <c r="IXJ23" s="65"/>
      <c r="IXK23" s="65"/>
      <c r="IXL23" s="65"/>
      <c r="IXM23" s="65"/>
      <c r="IXN23" s="65"/>
      <c r="IXO23" s="65"/>
      <c r="IXP23" s="65"/>
      <c r="IXQ23" s="65"/>
      <c r="IXR23" s="65"/>
      <c r="IXS23" s="65"/>
      <c r="IXT23" s="65"/>
      <c r="IXU23" s="65"/>
      <c r="IXV23" s="65"/>
      <c r="IXW23" s="65"/>
      <c r="IXX23" s="65"/>
      <c r="IXY23" s="65"/>
      <c r="IXZ23" s="65"/>
      <c r="IYA23" s="65"/>
      <c r="IYB23" s="65"/>
      <c r="IYC23" s="65"/>
      <c r="IYD23" s="65"/>
      <c r="IYE23" s="65"/>
      <c r="IYF23" s="65"/>
      <c r="IYG23" s="65"/>
      <c r="IYH23" s="65"/>
      <c r="IYI23" s="65"/>
      <c r="IYJ23" s="65"/>
      <c r="IYK23" s="65"/>
      <c r="IYL23" s="65"/>
      <c r="IYM23" s="65"/>
      <c r="IYN23" s="65"/>
      <c r="IYO23" s="65"/>
      <c r="IYP23" s="65"/>
      <c r="IYQ23" s="65"/>
      <c r="IYR23" s="65"/>
      <c r="IYS23" s="65"/>
      <c r="IYT23" s="65"/>
      <c r="IYU23" s="65"/>
      <c r="IYV23" s="65"/>
      <c r="IYW23" s="65"/>
      <c r="IYX23" s="65"/>
      <c r="IYY23" s="65"/>
      <c r="IYZ23" s="65"/>
      <c r="IZA23" s="65"/>
      <c r="IZB23" s="65"/>
      <c r="IZC23" s="65"/>
      <c r="IZD23" s="65"/>
      <c r="IZE23" s="65"/>
      <c r="IZF23" s="65"/>
      <c r="IZG23" s="65"/>
      <c r="IZH23" s="65"/>
      <c r="IZI23" s="65"/>
      <c r="IZJ23" s="65"/>
      <c r="IZK23" s="65"/>
      <c r="IZL23" s="65"/>
      <c r="IZM23" s="65"/>
      <c r="IZN23" s="65"/>
      <c r="IZO23" s="65"/>
      <c r="IZP23" s="65"/>
      <c r="IZQ23" s="65"/>
      <c r="IZR23" s="65"/>
      <c r="IZS23" s="65"/>
      <c r="IZT23" s="65"/>
      <c r="IZU23" s="65"/>
      <c r="IZV23" s="65"/>
      <c r="IZW23" s="65"/>
      <c r="IZX23" s="65"/>
      <c r="IZY23" s="65"/>
      <c r="IZZ23" s="65"/>
      <c r="JAA23" s="65"/>
      <c r="JAB23" s="65"/>
      <c r="JAC23" s="65"/>
      <c r="JAD23" s="65"/>
      <c r="JAE23" s="65"/>
      <c r="JAF23" s="65"/>
      <c r="JAG23" s="65"/>
      <c r="JAH23" s="65"/>
      <c r="JAI23" s="65"/>
      <c r="JAJ23" s="65"/>
      <c r="JAK23" s="65"/>
      <c r="JAL23" s="65"/>
      <c r="JAM23" s="65"/>
      <c r="JAN23" s="65"/>
      <c r="JAO23" s="65"/>
      <c r="JAP23" s="65"/>
      <c r="JAQ23" s="65"/>
      <c r="JAR23" s="65"/>
      <c r="JAS23" s="65"/>
      <c r="JAT23" s="65"/>
      <c r="JAU23" s="65"/>
      <c r="JAV23" s="65"/>
      <c r="JAW23" s="65"/>
      <c r="JAX23" s="65"/>
      <c r="JAY23" s="65"/>
      <c r="JAZ23" s="65"/>
      <c r="JBA23" s="65"/>
      <c r="JBB23" s="65"/>
      <c r="JBC23" s="65"/>
      <c r="JBD23" s="65"/>
      <c r="JBE23" s="65"/>
      <c r="JBF23" s="65"/>
      <c r="JBG23" s="65"/>
      <c r="JBH23" s="65"/>
      <c r="JBI23" s="65"/>
      <c r="JBJ23" s="65"/>
      <c r="JBK23" s="65"/>
      <c r="JBL23" s="65"/>
      <c r="JBM23" s="65"/>
      <c r="JBN23" s="65"/>
      <c r="JBO23" s="65"/>
      <c r="JBP23" s="65"/>
      <c r="JBQ23" s="65"/>
      <c r="JBR23" s="65"/>
      <c r="JBS23" s="65"/>
      <c r="JBT23" s="65"/>
      <c r="JBU23" s="65"/>
      <c r="JBV23" s="65"/>
      <c r="JBW23" s="65"/>
      <c r="JBX23" s="65"/>
      <c r="JBY23" s="65"/>
      <c r="JBZ23" s="65"/>
      <c r="JCA23" s="65"/>
      <c r="JCB23" s="65"/>
      <c r="JCC23" s="65"/>
      <c r="JCD23" s="65"/>
      <c r="JCE23" s="65"/>
      <c r="JCF23" s="65"/>
      <c r="JCG23" s="65"/>
      <c r="JCH23" s="65"/>
      <c r="JCI23" s="65"/>
      <c r="JCJ23" s="65"/>
      <c r="JCK23" s="65"/>
      <c r="JCL23" s="65"/>
      <c r="JCM23" s="65"/>
      <c r="JCN23" s="65"/>
      <c r="JCO23" s="65"/>
      <c r="JCP23" s="65"/>
      <c r="JCQ23" s="65"/>
      <c r="JCR23" s="65"/>
      <c r="JCS23" s="65"/>
      <c r="JCT23" s="65"/>
      <c r="JCU23" s="65"/>
      <c r="JCV23" s="65"/>
      <c r="JCW23" s="65"/>
      <c r="JCX23" s="65"/>
      <c r="JCY23" s="65"/>
      <c r="JCZ23" s="65"/>
      <c r="JDA23" s="65"/>
      <c r="JDB23" s="65"/>
      <c r="JDC23" s="65"/>
      <c r="JDD23" s="65"/>
      <c r="JDE23" s="65"/>
      <c r="JDF23" s="65"/>
      <c r="JDG23" s="65"/>
      <c r="JDH23" s="65"/>
      <c r="JDI23" s="65"/>
      <c r="JDJ23" s="65"/>
      <c r="JDK23" s="65"/>
      <c r="JDL23" s="65"/>
      <c r="JDM23" s="65"/>
      <c r="JDN23" s="65"/>
      <c r="JDO23" s="65"/>
      <c r="JDP23" s="65"/>
      <c r="JDQ23" s="65"/>
      <c r="JDR23" s="65"/>
      <c r="JDS23" s="65"/>
      <c r="JDT23" s="65"/>
      <c r="JDU23" s="65"/>
      <c r="JDV23" s="65"/>
      <c r="JDW23" s="65"/>
      <c r="JDX23" s="65"/>
      <c r="JDY23" s="65"/>
      <c r="JDZ23" s="65"/>
      <c r="JEA23" s="65"/>
      <c r="JEB23" s="65"/>
      <c r="JEC23" s="65"/>
      <c r="JED23" s="65"/>
      <c r="JEE23" s="65"/>
      <c r="JEF23" s="65"/>
      <c r="JEG23" s="65"/>
      <c r="JEH23" s="65"/>
      <c r="JEI23" s="65"/>
      <c r="JEJ23" s="65"/>
      <c r="JEK23" s="65"/>
      <c r="JEL23" s="65"/>
      <c r="JEM23" s="65"/>
      <c r="JEN23" s="65"/>
      <c r="JEO23" s="65"/>
      <c r="JEP23" s="65"/>
      <c r="JEQ23" s="65"/>
      <c r="JER23" s="65"/>
      <c r="JES23" s="65"/>
      <c r="JET23" s="65"/>
      <c r="JEU23" s="65"/>
      <c r="JEV23" s="65"/>
      <c r="JEW23" s="65"/>
      <c r="JEX23" s="65"/>
      <c r="JEY23" s="65"/>
      <c r="JEZ23" s="65"/>
      <c r="JFA23" s="65"/>
      <c r="JFB23" s="65"/>
      <c r="JFC23" s="65"/>
      <c r="JFD23" s="65"/>
      <c r="JFE23" s="65"/>
      <c r="JFF23" s="65"/>
      <c r="JFG23" s="65"/>
      <c r="JFH23" s="65"/>
      <c r="JFI23" s="65"/>
      <c r="JFJ23" s="65"/>
      <c r="JFK23" s="65"/>
      <c r="JFL23" s="65"/>
      <c r="JFM23" s="65"/>
      <c r="JFN23" s="65"/>
      <c r="JFO23" s="65"/>
      <c r="JFP23" s="65"/>
      <c r="JFQ23" s="65"/>
      <c r="JFR23" s="65"/>
      <c r="JFS23" s="65"/>
      <c r="JFT23" s="65"/>
      <c r="JFU23" s="65"/>
      <c r="JFV23" s="65"/>
      <c r="JFW23" s="65"/>
      <c r="JFX23" s="65"/>
      <c r="JFY23" s="65"/>
      <c r="JFZ23" s="65"/>
      <c r="JGA23" s="65"/>
      <c r="JGB23" s="65"/>
      <c r="JGC23" s="65"/>
      <c r="JGD23" s="65"/>
      <c r="JGE23" s="65"/>
      <c r="JGF23" s="65"/>
      <c r="JGG23" s="65"/>
      <c r="JGH23" s="65"/>
      <c r="JGI23" s="65"/>
      <c r="JGJ23" s="65"/>
      <c r="JGK23" s="65"/>
      <c r="JGL23" s="65"/>
      <c r="JGM23" s="65"/>
      <c r="JGN23" s="65"/>
      <c r="JGO23" s="65"/>
      <c r="JGP23" s="65"/>
      <c r="JGQ23" s="65"/>
      <c r="JGR23" s="65"/>
      <c r="JGS23" s="65"/>
      <c r="JGT23" s="65"/>
      <c r="JGU23" s="65"/>
      <c r="JGV23" s="65"/>
      <c r="JGW23" s="65"/>
      <c r="JGX23" s="65"/>
      <c r="JGY23" s="65"/>
      <c r="JGZ23" s="65"/>
      <c r="JHA23" s="65"/>
      <c r="JHB23" s="65"/>
      <c r="JHC23" s="65"/>
      <c r="JHD23" s="65"/>
      <c r="JHE23" s="65"/>
      <c r="JHF23" s="65"/>
      <c r="JHG23" s="65"/>
      <c r="JHH23" s="65"/>
      <c r="JHI23" s="65"/>
      <c r="JHJ23" s="65"/>
      <c r="JHK23" s="65"/>
      <c r="JHL23" s="65"/>
      <c r="JHM23" s="65"/>
      <c r="JHN23" s="65"/>
      <c r="JHO23" s="65"/>
      <c r="JHP23" s="65"/>
      <c r="JHQ23" s="65"/>
      <c r="JHR23" s="65"/>
      <c r="JHS23" s="65"/>
      <c r="JHT23" s="65"/>
      <c r="JHU23" s="65"/>
      <c r="JHV23" s="65"/>
      <c r="JHW23" s="65"/>
      <c r="JHX23" s="65"/>
      <c r="JHY23" s="65"/>
      <c r="JHZ23" s="65"/>
      <c r="JIA23" s="65"/>
      <c r="JIB23" s="65"/>
      <c r="JIC23" s="65"/>
      <c r="JID23" s="65"/>
      <c r="JIE23" s="65"/>
      <c r="JIF23" s="65"/>
      <c r="JIG23" s="65"/>
      <c r="JIH23" s="65"/>
      <c r="JII23" s="65"/>
      <c r="JIJ23" s="65"/>
      <c r="JIK23" s="65"/>
      <c r="JIL23" s="65"/>
      <c r="JIM23" s="65"/>
      <c r="JIN23" s="65"/>
      <c r="JIO23" s="65"/>
      <c r="JIP23" s="65"/>
      <c r="JIQ23" s="65"/>
      <c r="JIR23" s="65"/>
      <c r="JIS23" s="65"/>
      <c r="JIT23" s="65"/>
      <c r="JIU23" s="65"/>
      <c r="JIV23" s="65"/>
      <c r="JIW23" s="65"/>
      <c r="JIX23" s="65"/>
      <c r="JIY23" s="65"/>
      <c r="JIZ23" s="65"/>
      <c r="JJA23" s="65"/>
      <c r="JJB23" s="65"/>
      <c r="JJC23" s="65"/>
      <c r="JJD23" s="65"/>
      <c r="JJE23" s="65"/>
      <c r="JJF23" s="65"/>
      <c r="JJG23" s="65"/>
      <c r="JJH23" s="65"/>
      <c r="JJI23" s="65"/>
      <c r="JJJ23" s="65"/>
      <c r="JJK23" s="65"/>
      <c r="JJL23" s="65"/>
      <c r="JJM23" s="65"/>
      <c r="JJN23" s="65"/>
      <c r="JJO23" s="65"/>
      <c r="JJP23" s="65"/>
      <c r="JJQ23" s="65"/>
      <c r="JJR23" s="65"/>
      <c r="JJS23" s="65"/>
      <c r="JJT23" s="65"/>
      <c r="JJU23" s="65"/>
      <c r="JJV23" s="65"/>
      <c r="JJW23" s="65"/>
      <c r="JJX23" s="65"/>
      <c r="JJY23" s="65"/>
      <c r="JJZ23" s="65"/>
      <c r="JKA23" s="65"/>
      <c r="JKB23" s="65"/>
      <c r="JKC23" s="65"/>
      <c r="JKD23" s="65"/>
      <c r="JKE23" s="65"/>
      <c r="JKF23" s="65"/>
      <c r="JKG23" s="65"/>
      <c r="JKH23" s="65"/>
      <c r="JKI23" s="65"/>
      <c r="JKJ23" s="65"/>
      <c r="JKK23" s="65"/>
      <c r="JKL23" s="65"/>
      <c r="JKM23" s="65"/>
      <c r="JKN23" s="65"/>
      <c r="JKO23" s="65"/>
      <c r="JKP23" s="65"/>
      <c r="JKQ23" s="65"/>
      <c r="JKR23" s="65"/>
      <c r="JKS23" s="65"/>
      <c r="JKT23" s="65"/>
      <c r="JKU23" s="65"/>
      <c r="JKV23" s="65"/>
      <c r="JKW23" s="65"/>
      <c r="JKX23" s="65"/>
      <c r="JKY23" s="65"/>
      <c r="JKZ23" s="65"/>
      <c r="JLA23" s="65"/>
      <c r="JLB23" s="65"/>
      <c r="JLC23" s="65"/>
      <c r="JLD23" s="65"/>
      <c r="JLE23" s="65"/>
      <c r="JLF23" s="65"/>
      <c r="JLG23" s="65"/>
      <c r="JLH23" s="65"/>
      <c r="JLI23" s="65"/>
      <c r="JLJ23" s="65"/>
      <c r="JLK23" s="65"/>
      <c r="JLL23" s="65"/>
      <c r="JLM23" s="65"/>
      <c r="JLN23" s="65"/>
      <c r="JLO23" s="65"/>
      <c r="JLP23" s="65"/>
      <c r="JLQ23" s="65"/>
      <c r="JLR23" s="65"/>
      <c r="JLS23" s="65"/>
      <c r="JLT23" s="65"/>
      <c r="JLU23" s="65"/>
      <c r="JLV23" s="65"/>
      <c r="JLW23" s="65"/>
      <c r="JLX23" s="65"/>
      <c r="JLY23" s="65"/>
      <c r="JLZ23" s="65"/>
      <c r="JMA23" s="65"/>
      <c r="JMB23" s="65"/>
      <c r="JMC23" s="65"/>
      <c r="JMD23" s="65"/>
      <c r="JME23" s="65"/>
      <c r="JMF23" s="65"/>
      <c r="JMG23" s="65"/>
      <c r="JMH23" s="65"/>
      <c r="JMI23" s="65"/>
      <c r="JMJ23" s="65"/>
      <c r="JMK23" s="65"/>
      <c r="JML23" s="65"/>
      <c r="JMM23" s="65"/>
      <c r="JMN23" s="65"/>
      <c r="JMO23" s="65"/>
      <c r="JMP23" s="65"/>
      <c r="JMQ23" s="65"/>
      <c r="JMR23" s="65"/>
      <c r="JMS23" s="65"/>
      <c r="JMT23" s="65"/>
      <c r="JMU23" s="65"/>
      <c r="JMV23" s="65"/>
      <c r="JMW23" s="65"/>
      <c r="JMX23" s="65"/>
      <c r="JMY23" s="65"/>
      <c r="JMZ23" s="65"/>
      <c r="JNA23" s="65"/>
      <c r="JNB23" s="65"/>
      <c r="JNC23" s="65"/>
      <c r="JND23" s="65"/>
      <c r="JNE23" s="65"/>
      <c r="JNF23" s="65"/>
      <c r="JNG23" s="65"/>
      <c r="JNH23" s="65"/>
      <c r="JNI23" s="65"/>
      <c r="JNJ23" s="65"/>
      <c r="JNK23" s="65"/>
      <c r="JNL23" s="65"/>
      <c r="JNM23" s="65"/>
      <c r="JNN23" s="65"/>
      <c r="JNO23" s="65"/>
      <c r="JNP23" s="65"/>
      <c r="JNQ23" s="65"/>
      <c r="JNR23" s="65"/>
      <c r="JNS23" s="65"/>
      <c r="JNT23" s="65"/>
      <c r="JNU23" s="65"/>
      <c r="JNV23" s="65"/>
      <c r="JNW23" s="65"/>
      <c r="JNX23" s="65"/>
      <c r="JNY23" s="65"/>
      <c r="JNZ23" s="65"/>
      <c r="JOA23" s="65"/>
      <c r="JOB23" s="65"/>
      <c r="JOC23" s="65"/>
      <c r="JOD23" s="65"/>
      <c r="JOE23" s="65"/>
      <c r="JOF23" s="65"/>
      <c r="JOG23" s="65"/>
      <c r="JOH23" s="65"/>
      <c r="JOI23" s="65"/>
      <c r="JOJ23" s="65"/>
      <c r="JOK23" s="65"/>
      <c r="JOL23" s="65"/>
      <c r="JOM23" s="65"/>
      <c r="JON23" s="65"/>
      <c r="JOO23" s="65"/>
      <c r="JOP23" s="65"/>
      <c r="JOQ23" s="65"/>
      <c r="JOR23" s="65"/>
      <c r="JOS23" s="65"/>
      <c r="JOT23" s="65"/>
      <c r="JOU23" s="65"/>
      <c r="JOV23" s="65"/>
      <c r="JOW23" s="65"/>
      <c r="JOX23" s="65"/>
      <c r="JOY23" s="65"/>
      <c r="JOZ23" s="65"/>
      <c r="JPA23" s="65"/>
      <c r="JPB23" s="65"/>
      <c r="JPC23" s="65"/>
      <c r="JPD23" s="65"/>
      <c r="JPE23" s="65"/>
      <c r="JPF23" s="65"/>
      <c r="JPG23" s="65"/>
      <c r="JPH23" s="65"/>
      <c r="JPI23" s="65"/>
      <c r="JPJ23" s="65"/>
      <c r="JPK23" s="65"/>
      <c r="JPL23" s="65"/>
      <c r="JPM23" s="65"/>
      <c r="JPN23" s="65"/>
      <c r="JPO23" s="65"/>
      <c r="JPP23" s="65"/>
      <c r="JPQ23" s="65"/>
      <c r="JPR23" s="65"/>
      <c r="JPS23" s="65"/>
      <c r="JPT23" s="65"/>
      <c r="JPU23" s="65"/>
      <c r="JPV23" s="65"/>
      <c r="JPW23" s="65"/>
      <c r="JPX23" s="65"/>
      <c r="JPY23" s="65"/>
      <c r="JPZ23" s="65"/>
      <c r="JQA23" s="65"/>
      <c r="JQB23" s="65"/>
      <c r="JQC23" s="65"/>
      <c r="JQD23" s="65"/>
      <c r="JQE23" s="65"/>
      <c r="JQF23" s="65"/>
      <c r="JQG23" s="65"/>
      <c r="JQH23" s="65"/>
      <c r="JQI23" s="65"/>
      <c r="JQJ23" s="65"/>
      <c r="JQK23" s="65"/>
      <c r="JQL23" s="65"/>
      <c r="JQM23" s="65"/>
      <c r="JQN23" s="65"/>
      <c r="JQO23" s="65"/>
      <c r="JQP23" s="65"/>
      <c r="JQQ23" s="65"/>
      <c r="JQR23" s="65"/>
      <c r="JQS23" s="65"/>
      <c r="JQT23" s="65"/>
      <c r="JQU23" s="65"/>
      <c r="JQV23" s="65"/>
      <c r="JQW23" s="65"/>
      <c r="JQX23" s="65"/>
      <c r="JQY23" s="65"/>
      <c r="JQZ23" s="65"/>
      <c r="JRA23" s="65"/>
      <c r="JRB23" s="65"/>
      <c r="JRC23" s="65"/>
      <c r="JRD23" s="65"/>
      <c r="JRE23" s="65"/>
      <c r="JRF23" s="65"/>
      <c r="JRG23" s="65"/>
      <c r="JRH23" s="65"/>
      <c r="JRI23" s="65"/>
      <c r="JRJ23" s="65"/>
      <c r="JRK23" s="65"/>
      <c r="JRL23" s="65"/>
      <c r="JRM23" s="65"/>
      <c r="JRN23" s="65"/>
      <c r="JRO23" s="65"/>
      <c r="JRP23" s="65"/>
      <c r="JRQ23" s="65"/>
      <c r="JRR23" s="65"/>
      <c r="JRS23" s="65"/>
      <c r="JRT23" s="65"/>
      <c r="JRU23" s="65"/>
      <c r="JRV23" s="65"/>
      <c r="JRW23" s="65"/>
      <c r="JRX23" s="65"/>
      <c r="JRY23" s="65"/>
      <c r="JRZ23" s="65"/>
      <c r="JSA23" s="65"/>
      <c r="JSB23" s="65"/>
      <c r="JSC23" s="65"/>
      <c r="JSD23" s="65"/>
      <c r="JSE23" s="65"/>
      <c r="JSF23" s="65"/>
      <c r="JSG23" s="65"/>
      <c r="JSH23" s="65"/>
      <c r="JSI23" s="65"/>
      <c r="JSJ23" s="65"/>
      <c r="JSK23" s="65"/>
      <c r="JSL23" s="65"/>
      <c r="JSM23" s="65"/>
      <c r="JSN23" s="65"/>
      <c r="JSO23" s="65"/>
      <c r="JSP23" s="65"/>
      <c r="JSQ23" s="65"/>
      <c r="JSR23" s="65"/>
      <c r="JSS23" s="65"/>
      <c r="JST23" s="65"/>
      <c r="JSU23" s="65"/>
      <c r="JSV23" s="65"/>
      <c r="JSW23" s="65"/>
      <c r="JSX23" s="65"/>
      <c r="JSY23" s="65"/>
      <c r="JSZ23" s="65"/>
      <c r="JTA23" s="65"/>
      <c r="JTB23" s="65"/>
      <c r="JTC23" s="65"/>
      <c r="JTD23" s="65"/>
      <c r="JTE23" s="65"/>
      <c r="JTF23" s="65"/>
      <c r="JTG23" s="65"/>
      <c r="JTH23" s="65"/>
      <c r="JTI23" s="65"/>
      <c r="JTJ23" s="65"/>
      <c r="JTK23" s="65"/>
      <c r="JTL23" s="65"/>
      <c r="JTM23" s="65"/>
      <c r="JTN23" s="65"/>
      <c r="JTO23" s="65"/>
      <c r="JTP23" s="65"/>
      <c r="JTQ23" s="65"/>
      <c r="JTR23" s="65"/>
      <c r="JTS23" s="65"/>
      <c r="JTT23" s="65"/>
      <c r="JTU23" s="65"/>
      <c r="JTV23" s="65"/>
      <c r="JTW23" s="65"/>
      <c r="JTX23" s="65"/>
      <c r="JTY23" s="65"/>
      <c r="JTZ23" s="65"/>
      <c r="JUA23" s="65"/>
      <c r="JUB23" s="65"/>
      <c r="JUC23" s="65"/>
      <c r="JUD23" s="65"/>
      <c r="JUE23" s="65"/>
      <c r="JUF23" s="65"/>
      <c r="JUG23" s="65"/>
      <c r="JUH23" s="65"/>
      <c r="JUI23" s="65"/>
      <c r="JUJ23" s="65"/>
      <c r="JUK23" s="65"/>
      <c r="JUL23" s="65"/>
      <c r="JUM23" s="65"/>
      <c r="JUN23" s="65"/>
      <c r="JUO23" s="65"/>
      <c r="JUP23" s="65"/>
      <c r="JUQ23" s="65"/>
      <c r="JUR23" s="65"/>
      <c r="JUS23" s="65"/>
      <c r="JUT23" s="65"/>
      <c r="JUU23" s="65"/>
      <c r="JUV23" s="65"/>
      <c r="JUW23" s="65"/>
      <c r="JUX23" s="65"/>
      <c r="JUY23" s="65"/>
      <c r="JUZ23" s="65"/>
      <c r="JVA23" s="65"/>
      <c r="JVB23" s="65"/>
      <c r="JVC23" s="65"/>
      <c r="JVD23" s="65"/>
      <c r="JVE23" s="65"/>
      <c r="JVF23" s="65"/>
      <c r="JVG23" s="65"/>
      <c r="JVH23" s="65"/>
      <c r="JVI23" s="65"/>
      <c r="JVJ23" s="65"/>
      <c r="JVK23" s="65"/>
      <c r="JVL23" s="65"/>
      <c r="JVM23" s="65"/>
      <c r="JVN23" s="65"/>
      <c r="JVO23" s="65"/>
      <c r="JVP23" s="65"/>
      <c r="JVQ23" s="65"/>
      <c r="JVR23" s="65"/>
      <c r="JVS23" s="65"/>
      <c r="JVT23" s="65"/>
      <c r="JVU23" s="65"/>
      <c r="JVV23" s="65"/>
      <c r="JVW23" s="65"/>
      <c r="JVX23" s="65"/>
      <c r="JVY23" s="65"/>
      <c r="JVZ23" s="65"/>
      <c r="JWA23" s="65"/>
      <c r="JWB23" s="65"/>
      <c r="JWC23" s="65"/>
      <c r="JWD23" s="65"/>
      <c r="JWE23" s="65"/>
      <c r="JWF23" s="65"/>
      <c r="JWG23" s="65"/>
      <c r="JWH23" s="65"/>
      <c r="JWI23" s="65"/>
      <c r="JWJ23" s="65"/>
      <c r="JWK23" s="65"/>
      <c r="JWL23" s="65"/>
      <c r="JWM23" s="65"/>
      <c r="JWN23" s="65"/>
      <c r="JWO23" s="65"/>
      <c r="JWP23" s="65"/>
      <c r="JWQ23" s="65"/>
      <c r="JWR23" s="65"/>
      <c r="JWS23" s="65"/>
      <c r="JWT23" s="65"/>
      <c r="JWU23" s="65"/>
      <c r="JWV23" s="65"/>
      <c r="JWW23" s="65"/>
      <c r="JWX23" s="65"/>
      <c r="JWY23" s="65"/>
      <c r="JWZ23" s="65"/>
      <c r="JXA23" s="65"/>
      <c r="JXB23" s="65"/>
      <c r="JXC23" s="65"/>
      <c r="JXD23" s="65"/>
      <c r="JXE23" s="65"/>
      <c r="JXF23" s="65"/>
      <c r="JXG23" s="65"/>
      <c r="JXH23" s="65"/>
      <c r="JXI23" s="65"/>
      <c r="JXJ23" s="65"/>
      <c r="JXK23" s="65"/>
      <c r="JXL23" s="65"/>
      <c r="JXM23" s="65"/>
      <c r="JXN23" s="65"/>
      <c r="JXO23" s="65"/>
      <c r="JXP23" s="65"/>
      <c r="JXQ23" s="65"/>
      <c r="JXR23" s="65"/>
      <c r="JXS23" s="65"/>
      <c r="JXT23" s="65"/>
      <c r="JXU23" s="65"/>
      <c r="JXV23" s="65"/>
      <c r="JXW23" s="65"/>
      <c r="JXX23" s="65"/>
      <c r="JXY23" s="65"/>
      <c r="JXZ23" s="65"/>
      <c r="JYA23" s="65"/>
      <c r="JYB23" s="65"/>
      <c r="JYC23" s="65"/>
      <c r="JYD23" s="65"/>
      <c r="JYE23" s="65"/>
      <c r="JYF23" s="65"/>
      <c r="JYG23" s="65"/>
      <c r="JYH23" s="65"/>
      <c r="JYI23" s="65"/>
      <c r="JYJ23" s="65"/>
      <c r="JYK23" s="65"/>
      <c r="JYL23" s="65"/>
      <c r="JYM23" s="65"/>
      <c r="JYN23" s="65"/>
      <c r="JYO23" s="65"/>
      <c r="JYP23" s="65"/>
      <c r="JYQ23" s="65"/>
      <c r="JYR23" s="65"/>
      <c r="JYS23" s="65"/>
      <c r="JYT23" s="65"/>
      <c r="JYU23" s="65"/>
      <c r="JYV23" s="65"/>
      <c r="JYW23" s="65"/>
      <c r="JYX23" s="65"/>
      <c r="JYY23" s="65"/>
      <c r="JYZ23" s="65"/>
      <c r="JZA23" s="65"/>
      <c r="JZB23" s="65"/>
      <c r="JZC23" s="65"/>
      <c r="JZD23" s="65"/>
      <c r="JZE23" s="65"/>
      <c r="JZF23" s="65"/>
      <c r="JZG23" s="65"/>
      <c r="JZH23" s="65"/>
      <c r="JZI23" s="65"/>
      <c r="JZJ23" s="65"/>
      <c r="JZK23" s="65"/>
      <c r="JZL23" s="65"/>
      <c r="JZM23" s="65"/>
      <c r="JZN23" s="65"/>
      <c r="JZO23" s="65"/>
      <c r="JZP23" s="65"/>
      <c r="JZQ23" s="65"/>
      <c r="JZR23" s="65"/>
      <c r="JZS23" s="65"/>
      <c r="JZT23" s="65"/>
      <c r="JZU23" s="65"/>
      <c r="JZV23" s="65"/>
      <c r="JZW23" s="65"/>
      <c r="JZX23" s="65"/>
      <c r="JZY23" s="65"/>
      <c r="JZZ23" s="65"/>
      <c r="KAA23" s="65"/>
      <c r="KAB23" s="65"/>
      <c r="KAC23" s="65"/>
      <c r="KAD23" s="65"/>
      <c r="KAE23" s="65"/>
      <c r="KAF23" s="65"/>
      <c r="KAG23" s="65"/>
      <c r="KAH23" s="65"/>
      <c r="KAI23" s="65"/>
      <c r="KAJ23" s="65"/>
      <c r="KAK23" s="65"/>
      <c r="KAL23" s="65"/>
      <c r="KAM23" s="65"/>
      <c r="KAN23" s="65"/>
      <c r="KAO23" s="65"/>
      <c r="KAP23" s="65"/>
      <c r="KAQ23" s="65"/>
      <c r="KAR23" s="65"/>
      <c r="KAS23" s="65"/>
      <c r="KAT23" s="65"/>
      <c r="KAU23" s="65"/>
      <c r="KAV23" s="65"/>
      <c r="KAW23" s="65"/>
      <c r="KAX23" s="65"/>
      <c r="KAY23" s="65"/>
      <c r="KAZ23" s="65"/>
      <c r="KBA23" s="65"/>
      <c r="KBB23" s="65"/>
      <c r="KBC23" s="65"/>
      <c r="KBD23" s="65"/>
      <c r="KBE23" s="65"/>
      <c r="KBF23" s="65"/>
      <c r="KBG23" s="65"/>
      <c r="KBH23" s="65"/>
      <c r="KBI23" s="65"/>
      <c r="KBJ23" s="65"/>
      <c r="KBK23" s="65"/>
      <c r="KBL23" s="65"/>
      <c r="KBM23" s="65"/>
      <c r="KBN23" s="65"/>
      <c r="KBO23" s="65"/>
      <c r="KBP23" s="65"/>
      <c r="KBQ23" s="65"/>
      <c r="KBR23" s="65"/>
      <c r="KBS23" s="65"/>
      <c r="KBT23" s="65"/>
      <c r="KBU23" s="65"/>
      <c r="KBV23" s="65"/>
      <c r="KBW23" s="65"/>
      <c r="KBX23" s="65"/>
      <c r="KBY23" s="65"/>
      <c r="KBZ23" s="65"/>
      <c r="KCA23" s="65"/>
      <c r="KCB23" s="65"/>
      <c r="KCC23" s="65"/>
      <c r="KCD23" s="65"/>
      <c r="KCE23" s="65"/>
      <c r="KCF23" s="65"/>
      <c r="KCG23" s="65"/>
      <c r="KCH23" s="65"/>
      <c r="KCI23" s="65"/>
      <c r="KCJ23" s="65"/>
      <c r="KCK23" s="65"/>
      <c r="KCL23" s="65"/>
      <c r="KCM23" s="65"/>
      <c r="KCN23" s="65"/>
      <c r="KCO23" s="65"/>
      <c r="KCP23" s="65"/>
      <c r="KCQ23" s="65"/>
      <c r="KCR23" s="65"/>
      <c r="KCS23" s="65"/>
      <c r="KCT23" s="65"/>
      <c r="KCU23" s="65"/>
      <c r="KCV23" s="65"/>
      <c r="KCW23" s="65"/>
      <c r="KCX23" s="65"/>
      <c r="KCY23" s="65"/>
      <c r="KCZ23" s="65"/>
      <c r="KDA23" s="65"/>
      <c r="KDB23" s="65"/>
      <c r="KDC23" s="65"/>
      <c r="KDD23" s="65"/>
      <c r="KDE23" s="65"/>
      <c r="KDF23" s="65"/>
      <c r="KDG23" s="65"/>
      <c r="KDH23" s="65"/>
      <c r="KDI23" s="65"/>
      <c r="KDJ23" s="65"/>
      <c r="KDK23" s="65"/>
      <c r="KDL23" s="65"/>
      <c r="KDM23" s="65"/>
      <c r="KDN23" s="65"/>
      <c r="KDO23" s="65"/>
      <c r="KDP23" s="65"/>
      <c r="KDQ23" s="65"/>
      <c r="KDR23" s="65"/>
      <c r="KDS23" s="65"/>
      <c r="KDT23" s="65"/>
      <c r="KDU23" s="65"/>
      <c r="KDV23" s="65"/>
      <c r="KDW23" s="65"/>
      <c r="KDX23" s="65"/>
      <c r="KDY23" s="65"/>
      <c r="KDZ23" s="65"/>
      <c r="KEA23" s="65"/>
      <c r="KEB23" s="65"/>
      <c r="KEC23" s="65"/>
      <c r="KED23" s="65"/>
      <c r="KEE23" s="65"/>
      <c r="KEF23" s="65"/>
      <c r="KEG23" s="65"/>
      <c r="KEH23" s="65"/>
      <c r="KEI23" s="65"/>
      <c r="KEJ23" s="65"/>
      <c r="KEK23" s="65"/>
      <c r="KEL23" s="65"/>
      <c r="KEM23" s="65"/>
      <c r="KEN23" s="65"/>
      <c r="KEO23" s="65"/>
      <c r="KEP23" s="65"/>
      <c r="KEQ23" s="65"/>
      <c r="KER23" s="65"/>
      <c r="KES23" s="65"/>
      <c r="KET23" s="65"/>
      <c r="KEU23" s="65"/>
      <c r="KEV23" s="65"/>
      <c r="KEW23" s="65"/>
      <c r="KEX23" s="65"/>
      <c r="KEY23" s="65"/>
      <c r="KEZ23" s="65"/>
      <c r="KFA23" s="65"/>
      <c r="KFB23" s="65"/>
      <c r="KFC23" s="65"/>
      <c r="KFD23" s="65"/>
      <c r="KFE23" s="65"/>
      <c r="KFF23" s="65"/>
      <c r="KFG23" s="65"/>
      <c r="KFH23" s="65"/>
      <c r="KFI23" s="65"/>
      <c r="KFJ23" s="65"/>
      <c r="KFK23" s="65"/>
      <c r="KFL23" s="65"/>
      <c r="KFM23" s="65"/>
      <c r="KFN23" s="65"/>
      <c r="KFO23" s="65"/>
      <c r="KFP23" s="65"/>
      <c r="KFQ23" s="65"/>
      <c r="KFR23" s="65"/>
      <c r="KFS23" s="65"/>
      <c r="KFT23" s="65"/>
      <c r="KFU23" s="65"/>
      <c r="KFV23" s="65"/>
      <c r="KFW23" s="65"/>
      <c r="KFX23" s="65"/>
      <c r="KFY23" s="65"/>
      <c r="KFZ23" s="65"/>
      <c r="KGA23" s="65"/>
      <c r="KGB23" s="65"/>
      <c r="KGC23" s="65"/>
      <c r="KGD23" s="65"/>
      <c r="KGE23" s="65"/>
      <c r="KGF23" s="65"/>
      <c r="KGG23" s="65"/>
      <c r="KGH23" s="65"/>
      <c r="KGI23" s="65"/>
      <c r="KGJ23" s="65"/>
      <c r="KGK23" s="65"/>
      <c r="KGL23" s="65"/>
      <c r="KGM23" s="65"/>
      <c r="KGN23" s="65"/>
      <c r="KGO23" s="65"/>
      <c r="KGP23" s="65"/>
      <c r="KGQ23" s="65"/>
      <c r="KGR23" s="65"/>
      <c r="KGS23" s="65"/>
      <c r="KGT23" s="65"/>
      <c r="KGU23" s="65"/>
      <c r="KGV23" s="65"/>
      <c r="KGW23" s="65"/>
      <c r="KGX23" s="65"/>
      <c r="KGY23" s="65"/>
      <c r="KGZ23" s="65"/>
      <c r="KHA23" s="65"/>
      <c r="KHB23" s="65"/>
      <c r="KHC23" s="65"/>
      <c r="KHD23" s="65"/>
      <c r="KHE23" s="65"/>
      <c r="KHF23" s="65"/>
      <c r="KHG23" s="65"/>
      <c r="KHH23" s="65"/>
      <c r="KHI23" s="65"/>
      <c r="KHJ23" s="65"/>
      <c r="KHK23" s="65"/>
      <c r="KHL23" s="65"/>
      <c r="KHM23" s="65"/>
      <c r="KHN23" s="65"/>
      <c r="KHO23" s="65"/>
      <c r="KHP23" s="65"/>
      <c r="KHQ23" s="65"/>
      <c r="KHR23" s="65"/>
      <c r="KHS23" s="65"/>
      <c r="KHT23" s="65"/>
      <c r="KHU23" s="65"/>
      <c r="KHV23" s="65"/>
      <c r="KHW23" s="65"/>
      <c r="KHX23" s="65"/>
      <c r="KHY23" s="65"/>
      <c r="KHZ23" s="65"/>
      <c r="KIA23" s="65"/>
      <c r="KIB23" s="65"/>
      <c r="KIC23" s="65"/>
      <c r="KID23" s="65"/>
      <c r="KIE23" s="65"/>
      <c r="KIF23" s="65"/>
      <c r="KIG23" s="65"/>
      <c r="KIH23" s="65"/>
      <c r="KII23" s="65"/>
      <c r="KIJ23" s="65"/>
      <c r="KIK23" s="65"/>
      <c r="KIL23" s="65"/>
      <c r="KIM23" s="65"/>
      <c r="KIN23" s="65"/>
      <c r="KIO23" s="65"/>
      <c r="KIP23" s="65"/>
      <c r="KIQ23" s="65"/>
      <c r="KIR23" s="65"/>
      <c r="KIS23" s="65"/>
      <c r="KIT23" s="65"/>
      <c r="KIU23" s="65"/>
      <c r="KIV23" s="65"/>
      <c r="KIW23" s="65"/>
      <c r="KIX23" s="65"/>
      <c r="KIY23" s="65"/>
      <c r="KIZ23" s="65"/>
      <c r="KJA23" s="65"/>
      <c r="KJB23" s="65"/>
      <c r="KJC23" s="65"/>
      <c r="KJD23" s="65"/>
      <c r="KJE23" s="65"/>
      <c r="KJF23" s="65"/>
      <c r="KJG23" s="65"/>
      <c r="KJH23" s="65"/>
      <c r="KJI23" s="65"/>
      <c r="KJJ23" s="65"/>
      <c r="KJK23" s="65"/>
      <c r="KJL23" s="65"/>
      <c r="KJM23" s="65"/>
      <c r="KJN23" s="65"/>
      <c r="KJO23" s="65"/>
      <c r="KJP23" s="65"/>
      <c r="KJQ23" s="65"/>
      <c r="KJR23" s="65"/>
      <c r="KJS23" s="65"/>
      <c r="KJT23" s="65"/>
      <c r="KJU23" s="65"/>
      <c r="KJV23" s="65"/>
      <c r="KJW23" s="65"/>
      <c r="KJX23" s="65"/>
      <c r="KJY23" s="65"/>
      <c r="KJZ23" s="65"/>
      <c r="KKA23" s="65"/>
      <c r="KKB23" s="65"/>
      <c r="KKC23" s="65"/>
      <c r="KKD23" s="65"/>
      <c r="KKE23" s="65"/>
      <c r="KKF23" s="65"/>
      <c r="KKG23" s="65"/>
      <c r="KKH23" s="65"/>
      <c r="KKI23" s="65"/>
      <c r="KKJ23" s="65"/>
      <c r="KKK23" s="65"/>
      <c r="KKL23" s="65"/>
      <c r="KKM23" s="65"/>
      <c r="KKN23" s="65"/>
      <c r="KKO23" s="65"/>
      <c r="KKP23" s="65"/>
      <c r="KKQ23" s="65"/>
      <c r="KKR23" s="65"/>
      <c r="KKS23" s="65"/>
      <c r="KKT23" s="65"/>
      <c r="KKU23" s="65"/>
      <c r="KKV23" s="65"/>
      <c r="KKW23" s="65"/>
      <c r="KKX23" s="65"/>
      <c r="KKY23" s="65"/>
      <c r="KKZ23" s="65"/>
      <c r="KLA23" s="65"/>
      <c r="KLB23" s="65"/>
      <c r="KLC23" s="65"/>
      <c r="KLD23" s="65"/>
      <c r="KLE23" s="65"/>
      <c r="KLF23" s="65"/>
      <c r="KLG23" s="65"/>
      <c r="KLH23" s="65"/>
      <c r="KLI23" s="65"/>
      <c r="KLJ23" s="65"/>
      <c r="KLK23" s="65"/>
      <c r="KLL23" s="65"/>
      <c r="KLM23" s="65"/>
      <c r="KLN23" s="65"/>
      <c r="KLO23" s="65"/>
      <c r="KLP23" s="65"/>
      <c r="KLQ23" s="65"/>
      <c r="KLR23" s="65"/>
      <c r="KLS23" s="65"/>
      <c r="KLT23" s="65"/>
      <c r="KLU23" s="65"/>
      <c r="KLV23" s="65"/>
      <c r="KLW23" s="65"/>
      <c r="KLX23" s="65"/>
      <c r="KLY23" s="65"/>
      <c r="KLZ23" s="65"/>
      <c r="KMA23" s="65"/>
      <c r="KMB23" s="65"/>
      <c r="KMC23" s="65"/>
      <c r="KMD23" s="65"/>
      <c r="KME23" s="65"/>
      <c r="KMF23" s="65"/>
      <c r="KMG23" s="65"/>
      <c r="KMH23" s="65"/>
      <c r="KMI23" s="65"/>
      <c r="KMJ23" s="65"/>
      <c r="KMK23" s="65"/>
      <c r="KML23" s="65"/>
      <c r="KMM23" s="65"/>
      <c r="KMN23" s="65"/>
      <c r="KMO23" s="65"/>
      <c r="KMP23" s="65"/>
      <c r="KMQ23" s="65"/>
      <c r="KMR23" s="65"/>
      <c r="KMS23" s="65"/>
      <c r="KMT23" s="65"/>
      <c r="KMU23" s="65"/>
      <c r="KMV23" s="65"/>
      <c r="KMW23" s="65"/>
      <c r="KMX23" s="65"/>
      <c r="KMY23" s="65"/>
      <c r="KMZ23" s="65"/>
      <c r="KNA23" s="65"/>
      <c r="KNB23" s="65"/>
      <c r="KNC23" s="65"/>
      <c r="KND23" s="65"/>
      <c r="KNE23" s="65"/>
      <c r="KNF23" s="65"/>
      <c r="KNG23" s="65"/>
      <c r="KNH23" s="65"/>
      <c r="KNI23" s="65"/>
      <c r="KNJ23" s="65"/>
      <c r="KNK23" s="65"/>
      <c r="KNL23" s="65"/>
      <c r="KNM23" s="65"/>
      <c r="KNN23" s="65"/>
      <c r="KNO23" s="65"/>
      <c r="KNP23" s="65"/>
      <c r="KNQ23" s="65"/>
      <c r="KNR23" s="65"/>
      <c r="KNS23" s="65"/>
      <c r="KNT23" s="65"/>
      <c r="KNU23" s="65"/>
      <c r="KNV23" s="65"/>
      <c r="KNW23" s="65"/>
      <c r="KNX23" s="65"/>
      <c r="KNY23" s="65"/>
      <c r="KNZ23" s="65"/>
      <c r="KOA23" s="65"/>
      <c r="KOB23" s="65"/>
      <c r="KOC23" s="65"/>
      <c r="KOD23" s="65"/>
      <c r="KOE23" s="65"/>
      <c r="KOF23" s="65"/>
      <c r="KOG23" s="65"/>
      <c r="KOH23" s="65"/>
      <c r="KOI23" s="65"/>
      <c r="KOJ23" s="65"/>
      <c r="KOK23" s="65"/>
      <c r="KOL23" s="65"/>
      <c r="KOM23" s="65"/>
      <c r="KON23" s="65"/>
      <c r="KOO23" s="65"/>
      <c r="KOP23" s="65"/>
      <c r="KOQ23" s="65"/>
      <c r="KOR23" s="65"/>
      <c r="KOS23" s="65"/>
      <c r="KOT23" s="65"/>
      <c r="KOU23" s="65"/>
      <c r="KOV23" s="65"/>
      <c r="KOW23" s="65"/>
      <c r="KOX23" s="65"/>
      <c r="KOY23" s="65"/>
      <c r="KOZ23" s="65"/>
      <c r="KPA23" s="65"/>
      <c r="KPB23" s="65"/>
      <c r="KPC23" s="65"/>
      <c r="KPD23" s="65"/>
      <c r="KPE23" s="65"/>
      <c r="KPF23" s="65"/>
      <c r="KPG23" s="65"/>
      <c r="KPH23" s="65"/>
      <c r="KPI23" s="65"/>
      <c r="KPJ23" s="65"/>
      <c r="KPK23" s="65"/>
      <c r="KPL23" s="65"/>
      <c r="KPM23" s="65"/>
      <c r="KPN23" s="65"/>
      <c r="KPO23" s="65"/>
      <c r="KPP23" s="65"/>
      <c r="KPQ23" s="65"/>
      <c r="KPR23" s="65"/>
      <c r="KPS23" s="65"/>
      <c r="KPT23" s="65"/>
      <c r="KPU23" s="65"/>
      <c r="KPV23" s="65"/>
      <c r="KPW23" s="65"/>
      <c r="KPX23" s="65"/>
      <c r="KPY23" s="65"/>
      <c r="KPZ23" s="65"/>
      <c r="KQA23" s="65"/>
      <c r="KQB23" s="65"/>
      <c r="KQC23" s="65"/>
      <c r="KQD23" s="65"/>
      <c r="KQE23" s="65"/>
      <c r="KQF23" s="65"/>
      <c r="KQG23" s="65"/>
      <c r="KQH23" s="65"/>
      <c r="KQI23" s="65"/>
      <c r="KQJ23" s="65"/>
      <c r="KQK23" s="65"/>
      <c r="KQL23" s="65"/>
      <c r="KQM23" s="65"/>
      <c r="KQN23" s="65"/>
      <c r="KQO23" s="65"/>
      <c r="KQP23" s="65"/>
      <c r="KQQ23" s="65"/>
      <c r="KQR23" s="65"/>
      <c r="KQS23" s="65"/>
      <c r="KQT23" s="65"/>
      <c r="KQU23" s="65"/>
      <c r="KQV23" s="65"/>
      <c r="KQW23" s="65"/>
      <c r="KQX23" s="65"/>
      <c r="KQY23" s="65"/>
      <c r="KQZ23" s="65"/>
      <c r="KRA23" s="65"/>
      <c r="KRB23" s="65"/>
      <c r="KRC23" s="65"/>
      <c r="KRD23" s="65"/>
      <c r="KRE23" s="65"/>
      <c r="KRF23" s="65"/>
      <c r="KRG23" s="65"/>
      <c r="KRH23" s="65"/>
      <c r="KRI23" s="65"/>
      <c r="KRJ23" s="65"/>
      <c r="KRK23" s="65"/>
      <c r="KRL23" s="65"/>
      <c r="KRM23" s="65"/>
      <c r="KRN23" s="65"/>
      <c r="KRO23" s="65"/>
      <c r="KRP23" s="65"/>
      <c r="KRQ23" s="65"/>
      <c r="KRR23" s="65"/>
      <c r="KRS23" s="65"/>
      <c r="KRT23" s="65"/>
      <c r="KRU23" s="65"/>
      <c r="KRV23" s="65"/>
      <c r="KRW23" s="65"/>
      <c r="KRX23" s="65"/>
      <c r="KRY23" s="65"/>
      <c r="KRZ23" s="65"/>
      <c r="KSA23" s="65"/>
      <c r="KSB23" s="65"/>
      <c r="KSC23" s="65"/>
      <c r="KSD23" s="65"/>
      <c r="KSE23" s="65"/>
      <c r="KSF23" s="65"/>
      <c r="KSG23" s="65"/>
      <c r="KSH23" s="65"/>
      <c r="KSI23" s="65"/>
      <c r="KSJ23" s="65"/>
      <c r="KSK23" s="65"/>
      <c r="KSL23" s="65"/>
      <c r="KSM23" s="65"/>
      <c r="KSN23" s="65"/>
      <c r="KSO23" s="65"/>
      <c r="KSP23" s="65"/>
      <c r="KSQ23" s="65"/>
      <c r="KSR23" s="65"/>
      <c r="KSS23" s="65"/>
      <c r="KST23" s="65"/>
      <c r="KSU23" s="65"/>
      <c r="KSV23" s="65"/>
      <c r="KSW23" s="65"/>
      <c r="KSX23" s="65"/>
      <c r="KSY23" s="65"/>
      <c r="KSZ23" s="65"/>
      <c r="KTA23" s="65"/>
      <c r="KTB23" s="65"/>
      <c r="KTC23" s="65"/>
      <c r="KTD23" s="65"/>
      <c r="KTE23" s="65"/>
      <c r="KTF23" s="65"/>
      <c r="KTG23" s="65"/>
      <c r="KTH23" s="65"/>
      <c r="KTI23" s="65"/>
      <c r="KTJ23" s="65"/>
      <c r="KTK23" s="65"/>
      <c r="KTL23" s="65"/>
      <c r="KTM23" s="65"/>
      <c r="KTN23" s="65"/>
      <c r="KTO23" s="65"/>
      <c r="KTP23" s="65"/>
      <c r="KTQ23" s="65"/>
      <c r="KTR23" s="65"/>
      <c r="KTS23" s="65"/>
      <c r="KTT23" s="65"/>
      <c r="KTU23" s="65"/>
      <c r="KTV23" s="65"/>
      <c r="KTW23" s="65"/>
      <c r="KTX23" s="65"/>
      <c r="KTY23" s="65"/>
      <c r="KTZ23" s="65"/>
      <c r="KUA23" s="65"/>
      <c r="KUB23" s="65"/>
      <c r="KUC23" s="65"/>
      <c r="KUD23" s="65"/>
      <c r="KUE23" s="65"/>
      <c r="KUF23" s="65"/>
      <c r="KUG23" s="65"/>
      <c r="KUH23" s="65"/>
      <c r="KUI23" s="65"/>
      <c r="KUJ23" s="65"/>
      <c r="KUK23" s="65"/>
      <c r="KUL23" s="65"/>
      <c r="KUM23" s="65"/>
      <c r="KUN23" s="65"/>
      <c r="KUO23" s="65"/>
      <c r="KUP23" s="65"/>
      <c r="KUQ23" s="65"/>
      <c r="KUR23" s="65"/>
      <c r="KUS23" s="65"/>
      <c r="KUT23" s="65"/>
      <c r="KUU23" s="65"/>
      <c r="KUV23" s="65"/>
      <c r="KUW23" s="65"/>
      <c r="KUX23" s="65"/>
      <c r="KUY23" s="65"/>
      <c r="KUZ23" s="65"/>
      <c r="KVA23" s="65"/>
      <c r="KVB23" s="65"/>
      <c r="KVC23" s="65"/>
      <c r="KVD23" s="65"/>
      <c r="KVE23" s="65"/>
      <c r="KVF23" s="65"/>
      <c r="KVG23" s="65"/>
      <c r="KVH23" s="65"/>
      <c r="KVI23" s="65"/>
      <c r="KVJ23" s="65"/>
      <c r="KVK23" s="65"/>
      <c r="KVL23" s="65"/>
      <c r="KVM23" s="65"/>
      <c r="KVN23" s="65"/>
      <c r="KVO23" s="65"/>
      <c r="KVP23" s="65"/>
      <c r="KVQ23" s="65"/>
      <c r="KVR23" s="65"/>
      <c r="KVS23" s="65"/>
      <c r="KVT23" s="65"/>
      <c r="KVU23" s="65"/>
      <c r="KVV23" s="65"/>
      <c r="KVW23" s="65"/>
      <c r="KVX23" s="65"/>
      <c r="KVY23" s="65"/>
      <c r="KVZ23" s="65"/>
      <c r="KWA23" s="65"/>
      <c r="KWB23" s="65"/>
      <c r="KWC23" s="65"/>
      <c r="KWD23" s="65"/>
      <c r="KWE23" s="65"/>
      <c r="KWF23" s="65"/>
      <c r="KWG23" s="65"/>
      <c r="KWH23" s="65"/>
      <c r="KWI23" s="65"/>
      <c r="KWJ23" s="65"/>
      <c r="KWK23" s="65"/>
      <c r="KWL23" s="65"/>
      <c r="KWM23" s="65"/>
      <c r="KWN23" s="65"/>
      <c r="KWO23" s="65"/>
      <c r="KWP23" s="65"/>
      <c r="KWQ23" s="65"/>
      <c r="KWR23" s="65"/>
      <c r="KWS23" s="65"/>
      <c r="KWT23" s="65"/>
      <c r="KWU23" s="65"/>
      <c r="KWV23" s="65"/>
      <c r="KWW23" s="65"/>
      <c r="KWX23" s="65"/>
      <c r="KWY23" s="65"/>
      <c r="KWZ23" s="65"/>
      <c r="KXA23" s="65"/>
      <c r="KXB23" s="65"/>
      <c r="KXC23" s="65"/>
      <c r="KXD23" s="65"/>
      <c r="KXE23" s="65"/>
      <c r="KXF23" s="65"/>
      <c r="KXG23" s="65"/>
      <c r="KXH23" s="65"/>
      <c r="KXI23" s="65"/>
      <c r="KXJ23" s="65"/>
      <c r="KXK23" s="65"/>
      <c r="KXL23" s="65"/>
      <c r="KXM23" s="65"/>
      <c r="KXN23" s="65"/>
      <c r="KXO23" s="65"/>
      <c r="KXP23" s="65"/>
      <c r="KXQ23" s="65"/>
      <c r="KXR23" s="65"/>
      <c r="KXS23" s="65"/>
      <c r="KXT23" s="65"/>
      <c r="KXU23" s="65"/>
      <c r="KXV23" s="65"/>
      <c r="KXW23" s="65"/>
      <c r="KXX23" s="65"/>
      <c r="KXY23" s="65"/>
      <c r="KXZ23" s="65"/>
      <c r="KYA23" s="65"/>
      <c r="KYB23" s="65"/>
      <c r="KYC23" s="65"/>
      <c r="KYD23" s="65"/>
      <c r="KYE23" s="65"/>
      <c r="KYF23" s="65"/>
      <c r="KYG23" s="65"/>
      <c r="KYH23" s="65"/>
      <c r="KYI23" s="65"/>
      <c r="KYJ23" s="65"/>
      <c r="KYK23" s="65"/>
      <c r="KYL23" s="65"/>
      <c r="KYM23" s="65"/>
      <c r="KYN23" s="65"/>
      <c r="KYO23" s="65"/>
      <c r="KYP23" s="65"/>
      <c r="KYQ23" s="65"/>
      <c r="KYR23" s="65"/>
      <c r="KYS23" s="65"/>
      <c r="KYT23" s="65"/>
      <c r="KYU23" s="65"/>
      <c r="KYV23" s="65"/>
      <c r="KYW23" s="65"/>
      <c r="KYX23" s="65"/>
      <c r="KYY23" s="65"/>
      <c r="KYZ23" s="65"/>
      <c r="KZA23" s="65"/>
      <c r="KZB23" s="65"/>
      <c r="KZC23" s="65"/>
      <c r="KZD23" s="65"/>
      <c r="KZE23" s="65"/>
      <c r="KZF23" s="65"/>
      <c r="KZG23" s="65"/>
      <c r="KZH23" s="65"/>
      <c r="KZI23" s="65"/>
      <c r="KZJ23" s="65"/>
      <c r="KZK23" s="65"/>
      <c r="KZL23" s="65"/>
      <c r="KZM23" s="65"/>
      <c r="KZN23" s="65"/>
      <c r="KZO23" s="65"/>
      <c r="KZP23" s="65"/>
      <c r="KZQ23" s="65"/>
      <c r="KZR23" s="65"/>
      <c r="KZS23" s="65"/>
      <c r="KZT23" s="65"/>
      <c r="KZU23" s="65"/>
      <c r="KZV23" s="65"/>
      <c r="KZW23" s="65"/>
      <c r="KZX23" s="65"/>
      <c r="KZY23" s="65"/>
      <c r="KZZ23" s="65"/>
      <c r="LAA23" s="65"/>
      <c r="LAB23" s="65"/>
      <c r="LAC23" s="65"/>
      <c r="LAD23" s="65"/>
      <c r="LAE23" s="65"/>
      <c r="LAF23" s="65"/>
      <c r="LAG23" s="65"/>
      <c r="LAH23" s="65"/>
      <c r="LAI23" s="65"/>
      <c r="LAJ23" s="65"/>
      <c r="LAK23" s="65"/>
      <c r="LAL23" s="65"/>
      <c r="LAM23" s="65"/>
      <c r="LAN23" s="65"/>
      <c r="LAO23" s="65"/>
      <c r="LAP23" s="65"/>
      <c r="LAQ23" s="65"/>
      <c r="LAR23" s="65"/>
      <c r="LAS23" s="65"/>
      <c r="LAT23" s="65"/>
      <c r="LAU23" s="65"/>
      <c r="LAV23" s="65"/>
      <c r="LAW23" s="65"/>
      <c r="LAX23" s="65"/>
      <c r="LAY23" s="65"/>
      <c r="LAZ23" s="65"/>
      <c r="LBA23" s="65"/>
      <c r="LBB23" s="65"/>
      <c r="LBC23" s="65"/>
      <c r="LBD23" s="65"/>
      <c r="LBE23" s="65"/>
      <c r="LBF23" s="65"/>
      <c r="LBG23" s="65"/>
      <c r="LBH23" s="65"/>
      <c r="LBI23" s="65"/>
      <c r="LBJ23" s="65"/>
      <c r="LBK23" s="65"/>
      <c r="LBL23" s="65"/>
      <c r="LBM23" s="65"/>
      <c r="LBN23" s="65"/>
      <c r="LBO23" s="65"/>
      <c r="LBP23" s="65"/>
      <c r="LBQ23" s="65"/>
      <c r="LBR23" s="65"/>
      <c r="LBS23" s="65"/>
      <c r="LBT23" s="65"/>
      <c r="LBU23" s="65"/>
      <c r="LBV23" s="65"/>
      <c r="LBW23" s="65"/>
      <c r="LBX23" s="65"/>
      <c r="LBY23" s="65"/>
      <c r="LBZ23" s="65"/>
      <c r="LCA23" s="65"/>
      <c r="LCB23" s="65"/>
      <c r="LCC23" s="65"/>
      <c r="LCD23" s="65"/>
      <c r="LCE23" s="65"/>
      <c r="LCF23" s="65"/>
      <c r="LCG23" s="65"/>
      <c r="LCH23" s="65"/>
      <c r="LCI23" s="65"/>
      <c r="LCJ23" s="65"/>
      <c r="LCK23" s="65"/>
      <c r="LCL23" s="65"/>
      <c r="LCM23" s="65"/>
      <c r="LCN23" s="65"/>
      <c r="LCO23" s="65"/>
      <c r="LCP23" s="65"/>
      <c r="LCQ23" s="65"/>
      <c r="LCR23" s="65"/>
      <c r="LCS23" s="65"/>
      <c r="LCT23" s="65"/>
      <c r="LCU23" s="65"/>
      <c r="LCV23" s="65"/>
      <c r="LCW23" s="65"/>
      <c r="LCX23" s="65"/>
      <c r="LCY23" s="65"/>
      <c r="LCZ23" s="65"/>
      <c r="LDA23" s="65"/>
      <c r="LDB23" s="65"/>
      <c r="LDC23" s="65"/>
      <c r="LDD23" s="65"/>
      <c r="LDE23" s="65"/>
      <c r="LDF23" s="65"/>
      <c r="LDG23" s="65"/>
      <c r="LDH23" s="65"/>
      <c r="LDI23" s="65"/>
      <c r="LDJ23" s="65"/>
      <c r="LDK23" s="65"/>
      <c r="LDL23" s="65"/>
      <c r="LDM23" s="65"/>
      <c r="LDN23" s="65"/>
      <c r="LDO23" s="65"/>
      <c r="LDP23" s="65"/>
      <c r="LDQ23" s="65"/>
      <c r="LDR23" s="65"/>
      <c r="LDS23" s="65"/>
      <c r="LDT23" s="65"/>
      <c r="LDU23" s="65"/>
      <c r="LDV23" s="65"/>
      <c r="LDW23" s="65"/>
      <c r="LDX23" s="65"/>
      <c r="LDY23" s="65"/>
      <c r="LDZ23" s="65"/>
      <c r="LEA23" s="65"/>
      <c r="LEB23" s="65"/>
      <c r="LEC23" s="65"/>
      <c r="LED23" s="65"/>
      <c r="LEE23" s="65"/>
      <c r="LEF23" s="65"/>
      <c r="LEG23" s="65"/>
      <c r="LEH23" s="65"/>
      <c r="LEI23" s="65"/>
      <c r="LEJ23" s="65"/>
      <c r="LEK23" s="65"/>
      <c r="LEL23" s="65"/>
      <c r="LEM23" s="65"/>
      <c r="LEN23" s="65"/>
      <c r="LEO23" s="65"/>
      <c r="LEP23" s="65"/>
      <c r="LEQ23" s="65"/>
      <c r="LER23" s="65"/>
      <c r="LES23" s="65"/>
      <c r="LET23" s="65"/>
      <c r="LEU23" s="65"/>
      <c r="LEV23" s="65"/>
      <c r="LEW23" s="65"/>
      <c r="LEX23" s="65"/>
      <c r="LEY23" s="65"/>
      <c r="LEZ23" s="65"/>
      <c r="LFA23" s="65"/>
      <c r="LFB23" s="65"/>
      <c r="LFC23" s="65"/>
      <c r="LFD23" s="65"/>
      <c r="LFE23" s="65"/>
      <c r="LFF23" s="65"/>
      <c r="LFG23" s="65"/>
      <c r="LFH23" s="65"/>
      <c r="LFI23" s="65"/>
      <c r="LFJ23" s="65"/>
      <c r="LFK23" s="65"/>
      <c r="LFL23" s="65"/>
      <c r="LFM23" s="65"/>
      <c r="LFN23" s="65"/>
      <c r="LFO23" s="65"/>
      <c r="LFP23" s="65"/>
      <c r="LFQ23" s="65"/>
      <c r="LFR23" s="65"/>
      <c r="LFS23" s="65"/>
      <c r="LFT23" s="65"/>
      <c r="LFU23" s="65"/>
      <c r="LFV23" s="65"/>
      <c r="LFW23" s="65"/>
      <c r="LFX23" s="65"/>
      <c r="LFY23" s="65"/>
      <c r="LFZ23" s="65"/>
      <c r="LGA23" s="65"/>
      <c r="LGB23" s="65"/>
      <c r="LGC23" s="65"/>
      <c r="LGD23" s="65"/>
      <c r="LGE23" s="65"/>
      <c r="LGF23" s="65"/>
      <c r="LGG23" s="65"/>
      <c r="LGH23" s="65"/>
      <c r="LGI23" s="65"/>
      <c r="LGJ23" s="65"/>
      <c r="LGK23" s="65"/>
      <c r="LGL23" s="65"/>
      <c r="LGM23" s="65"/>
      <c r="LGN23" s="65"/>
      <c r="LGO23" s="65"/>
      <c r="LGP23" s="65"/>
      <c r="LGQ23" s="65"/>
      <c r="LGR23" s="65"/>
      <c r="LGS23" s="65"/>
      <c r="LGT23" s="65"/>
      <c r="LGU23" s="65"/>
      <c r="LGV23" s="65"/>
      <c r="LGW23" s="65"/>
      <c r="LGX23" s="65"/>
      <c r="LGY23" s="65"/>
      <c r="LGZ23" s="65"/>
      <c r="LHA23" s="65"/>
      <c r="LHB23" s="65"/>
      <c r="LHC23" s="65"/>
      <c r="LHD23" s="65"/>
      <c r="LHE23" s="65"/>
      <c r="LHF23" s="65"/>
      <c r="LHG23" s="65"/>
      <c r="LHH23" s="65"/>
      <c r="LHI23" s="65"/>
      <c r="LHJ23" s="65"/>
      <c r="LHK23" s="65"/>
      <c r="LHL23" s="65"/>
      <c r="LHM23" s="65"/>
      <c r="LHN23" s="65"/>
      <c r="LHO23" s="65"/>
      <c r="LHP23" s="65"/>
      <c r="LHQ23" s="65"/>
      <c r="LHR23" s="65"/>
      <c r="LHS23" s="65"/>
      <c r="LHT23" s="65"/>
      <c r="LHU23" s="65"/>
      <c r="LHV23" s="65"/>
      <c r="LHW23" s="65"/>
      <c r="LHX23" s="65"/>
      <c r="LHY23" s="65"/>
      <c r="LHZ23" s="65"/>
      <c r="LIA23" s="65"/>
      <c r="LIB23" s="65"/>
      <c r="LIC23" s="65"/>
      <c r="LID23" s="65"/>
      <c r="LIE23" s="65"/>
      <c r="LIF23" s="65"/>
      <c r="LIG23" s="65"/>
      <c r="LIH23" s="65"/>
      <c r="LII23" s="65"/>
      <c r="LIJ23" s="65"/>
      <c r="LIK23" s="65"/>
      <c r="LIL23" s="65"/>
      <c r="LIM23" s="65"/>
      <c r="LIN23" s="65"/>
      <c r="LIO23" s="65"/>
      <c r="LIP23" s="65"/>
      <c r="LIQ23" s="65"/>
      <c r="LIR23" s="65"/>
      <c r="LIS23" s="65"/>
      <c r="LIT23" s="65"/>
      <c r="LIU23" s="65"/>
      <c r="LIV23" s="65"/>
      <c r="LIW23" s="65"/>
      <c r="LIX23" s="65"/>
      <c r="LIY23" s="65"/>
      <c r="LIZ23" s="65"/>
      <c r="LJA23" s="65"/>
      <c r="LJB23" s="65"/>
      <c r="LJC23" s="65"/>
      <c r="LJD23" s="65"/>
      <c r="LJE23" s="65"/>
      <c r="LJF23" s="65"/>
      <c r="LJG23" s="65"/>
      <c r="LJH23" s="65"/>
      <c r="LJI23" s="65"/>
      <c r="LJJ23" s="65"/>
      <c r="LJK23" s="65"/>
      <c r="LJL23" s="65"/>
      <c r="LJM23" s="65"/>
      <c r="LJN23" s="65"/>
      <c r="LJO23" s="65"/>
      <c r="LJP23" s="65"/>
      <c r="LJQ23" s="65"/>
      <c r="LJR23" s="65"/>
      <c r="LJS23" s="65"/>
      <c r="LJT23" s="65"/>
      <c r="LJU23" s="65"/>
      <c r="LJV23" s="65"/>
      <c r="LJW23" s="65"/>
      <c r="LJX23" s="65"/>
      <c r="LJY23" s="65"/>
      <c r="LJZ23" s="65"/>
      <c r="LKA23" s="65"/>
      <c r="LKB23" s="65"/>
      <c r="LKC23" s="65"/>
      <c r="LKD23" s="65"/>
      <c r="LKE23" s="65"/>
      <c r="LKF23" s="65"/>
      <c r="LKG23" s="65"/>
      <c r="LKH23" s="65"/>
      <c r="LKI23" s="65"/>
      <c r="LKJ23" s="65"/>
      <c r="LKK23" s="65"/>
      <c r="LKL23" s="65"/>
      <c r="LKM23" s="65"/>
      <c r="LKN23" s="65"/>
      <c r="LKO23" s="65"/>
      <c r="LKP23" s="65"/>
      <c r="LKQ23" s="65"/>
      <c r="LKR23" s="65"/>
      <c r="LKS23" s="65"/>
      <c r="LKT23" s="65"/>
      <c r="LKU23" s="65"/>
      <c r="LKV23" s="65"/>
      <c r="LKW23" s="65"/>
      <c r="LKX23" s="65"/>
      <c r="LKY23" s="65"/>
      <c r="LKZ23" s="65"/>
      <c r="LLA23" s="65"/>
      <c r="LLB23" s="65"/>
      <c r="LLC23" s="65"/>
      <c r="LLD23" s="65"/>
      <c r="LLE23" s="65"/>
      <c r="LLF23" s="65"/>
      <c r="LLG23" s="65"/>
      <c r="LLH23" s="65"/>
      <c r="LLI23" s="65"/>
      <c r="LLJ23" s="65"/>
      <c r="LLK23" s="65"/>
      <c r="LLL23" s="65"/>
      <c r="LLM23" s="65"/>
      <c r="LLN23" s="65"/>
      <c r="LLO23" s="65"/>
      <c r="LLP23" s="65"/>
      <c r="LLQ23" s="65"/>
      <c r="LLR23" s="65"/>
      <c r="LLS23" s="65"/>
      <c r="LLT23" s="65"/>
      <c r="LLU23" s="65"/>
      <c r="LLV23" s="65"/>
      <c r="LLW23" s="65"/>
      <c r="LLX23" s="65"/>
      <c r="LLY23" s="65"/>
      <c r="LLZ23" s="65"/>
      <c r="LMA23" s="65"/>
      <c r="LMB23" s="65"/>
      <c r="LMC23" s="65"/>
      <c r="LMD23" s="65"/>
      <c r="LME23" s="65"/>
      <c r="LMF23" s="65"/>
      <c r="LMG23" s="65"/>
      <c r="LMH23" s="65"/>
      <c r="LMI23" s="65"/>
      <c r="LMJ23" s="65"/>
      <c r="LMK23" s="65"/>
      <c r="LML23" s="65"/>
      <c r="LMM23" s="65"/>
      <c r="LMN23" s="65"/>
      <c r="LMO23" s="65"/>
      <c r="LMP23" s="65"/>
      <c r="LMQ23" s="65"/>
      <c r="LMR23" s="65"/>
      <c r="LMS23" s="65"/>
      <c r="LMT23" s="65"/>
      <c r="LMU23" s="65"/>
      <c r="LMV23" s="65"/>
      <c r="LMW23" s="65"/>
      <c r="LMX23" s="65"/>
      <c r="LMY23" s="65"/>
      <c r="LMZ23" s="65"/>
      <c r="LNA23" s="65"/>
      <c r="LNB23" s="65"/>
      <c r="LNC23" s="65"/>
      <c r="LND23" s="65"/>
      <c r="LNE23" s="65"/>
      <c r="LNF23" s="65"/>
      <c r="LNG23" s="65"/>
      <c r="LNH23" s="65"/>
      <c r="LNI23" s="65"/>
      <c r="LNJ23" s="65"/>
      <c r="LNK23" s="65"/>
      <c r="LNL23" s="65"/>
      <c r="LNM23" s="65"/>
      <c r="LNN23" s="65"/>
      <c r="LNO23" s="65"/>
      <c r="LNP23" s="65"/>
      <c r="LNQ23" s="65"/>
      <c r="LNR23" s="65"/>
      <c r="LNS23" s="65"/>
      <c r="LNT23" s="65"/>
      <c r="LNU23" s="65"/>
      <c r="LNV23" s="65"/>
      <c r="LNW23" s="65"/>
      <c r="LNX23" s="65"/>
      <c r="LNY23" s="65"/>
      <c r="LNZ23" s="65"/>
      <c r="LOA23" s="65"/>
      <c r="LOB23" s="65"/>
      <c r="LOC23" s="65"/>
      <c r="LOD23" s="65"/>
      <c r="LOE23" s="65"/>
      <c r="LOF23" s="65"/>
      <c r="LOG23" s="65"/>
      <c r="LOH23" s="65"/>
      <c r="LOI23" s="65"/>
      <c r="LOJ23" s="65"/>
      <c r="LOK23" s="65"/>
      <c r="LOL23" s="65"/>
      <c r="LOM23" s="65"/>
      <c r="LON23" s="65"/>
      <c r="LOO23" s="65"/>
      <c r="LOP23" s="65"/>
      <c r="LOQ23" s="65"/>
      <c r="LOR23" s="65"/>
      <c r="LOS23" s="65"/>
      <c r="LOT23" s="65"/>
      <c r="LOU23" s="65"/>
      <c r="LOV23" s="65"/>
      <c r="LOW23" s="65"/>
      <c r="LOX23" s="65"/>
      <c r="LOY23" s="65"/>
      <c r="LOZ23" s="65"/>
      <c r="LPA23" s="65"/>
      <c r="LPB23" s="65"/>
      <c r="LPC23" s="65"/>
      <c r="LPD23" s="65"/>
      <c r="LPE23" s="65"/>
      <c r="LPF23" s="65"/>
      <c r="LPG23" s="65"/>
      <c r="LPH23" s="65"/>
      <c r="LPI23" s="65"/>
      <c r="LPJ23" s="65"/>
      <c r="LPK23" s="65"/>
      <c r="LPL23" s="65"/>
      <c r="LPM23" s="65"/>
      <c r="LPN23" s="65"/>
      <c r="LPO23" s="65"/>
      <c r="LPP23" s="65"/>
      <c r="LPQ23" s="65"/>
      <c r="LPR23" s="65"/>
      <c r="LPS23" s="65"/>
      <c r="LPT23" s="65"/>
      <c r="LPU23" s="65"/>
      <c r="LPV23" s="65"/>
      <c r="LPW23" s="65"/>
      <c r="LPX23" s="65"/>
      <c r="LPY23" s="65"/>
      <c r="LPZ23" s="65"/>
      <c r="LQA23" s="65"/>
      <c r="LQB23" s="65"/>
      <c r="LQC23" s="65"/>
      <c r="LQD23" s="65"/>
      <c r="LQE23" s="65"/>
      <c r="LQF23" s="65"/>
      <c r="LQG23" s="65"/>
      <c r="LQH23" s="65"/>
      <c r="LQI23" s="65"/>
      <c r="LQJ23" s="65"/>
      <c r="LQK23" s="65"/>
      <c r="LQL23" s="65"/>
      <c r="LQM23" s="65"/>
      <c r="LQN23" s="65"/>
      <c r="LQO23" s="65"/>
      <c r="LQP23" s="65"/>
      <c r="LQQ23" s="65"/>
      <c r="LQR23" s="65"/>
      <c r="LQS23" s="65"/>
      <c r="LQT23" s="65"/>
      <c r="LQU23" s="65"/>
      <c r="LQV23" s="65"/>
      <c r="LQW23" s="65"/>
      <c r="LQX23" s="65"/>
      <c r="LQY23" s="65"/>
      <c r="LQZ23" s="65"/>
      <c r="LRA23" s="65"/>
      <c r="LRB23" s="65"/>
      <c r="LRC23" s="65"/>
      <c r="LRD23" s="65"/>
      <c r="LRE23" s="65"/>
      <c r="LRF23" s="65"/>
      <c r="LRG23" s="65"/>
      <c r="LRH23" s="65"/>
      <c r="LRI23" s="65"/>
      <c r="LRJ23" s="65"/>
      <c r="LRK23" s="65"/>
      <c r="LRL23" s="65"/>
      <c r="LRM23" s="65"/>
      <c r="LRN23" s="65"/>
      <c r="LRO23" s="65"/>
      <c r="LRP23" s="65"/>
      <c r="LRQ23" s="65"/>
      <c r="LRR23" s="65"/>
      <c r="LRS23" s="65"/>
      <c r="LRT23" s="65"/>
      <c r="LRU23" s="65"/>
      <c r="LRV23" s="65"/>
      <c r="LRW23" s="65"/>
      <c r="LRX23" s="65"/>
      <c r="LRY23" s="65"/>
      <c r="LRZ23" s="65"/>
      <c r="LSA23" s="65"/>
      <c r="LSB23" s="65"/>
      <c r="LSC23" s="65"/>
      <c r="LSD23" s="65"/>
      <c r="LSE23" s="65"/>
      <c r="LSF23" s="65"/>
      <c r="LSG23" s="65"/>
      <c r="LSH23" s="65"/>
      <c r="LSI23" s="65"/>
      <c r="LSJ23" s="65"/>
      <c r="LSK23" s="65"/>
      <c r="LSL23" s="65"/>
      <c r="LSM23" s="65"/>
      <c r="LSN23" s="65"/>
      <c r="LSO23" s="65"/>
      <c r="LSP23" s="65"/>
      <c r="LSQ23" s="65"/>
      <c r="LSR23" s="65"/>
      <c r="LSS23" s="65"/>
      <c r="LST23" s="65"/>
      <c r="LSU23" s="65"/>
      <c r="LSV23" s="65"/>
      <c r="LSW23" s="65"/>
      <c r="LSX23" s="65"/>
      <c r="LSY23" s="65"/>
      <c r="LSZ23" s="65"/>
      <c r="LTA23" s="65"/>
      <c r="LTB23" s="65"/>
      <c r="LTC23" s="65"/>
      <c r="LTD23" s="65"/>
      <c r="LTE23" s="65"/>
      <c r="LTF23" s="65"/>
      <c r="LTG23" s="65"/>
      <c r="LTH23" s="65"/>
      <c r="LTI23" s="65"/>
      <c r="LTJ23" s="65"/>
      <c r="LTK23" s="65"/>
      <c r="LTL23" s="65"/>
      <c r="LTM23" s="65"/>
      <c r="LTN23" s="65"/>
      <c r="LTO23" s="65"/>
      <c r="LTP23" s="65"/>
      <c r="LTQ23" s="65"/>
      <c r="LTR23" s="65"/>
      <c r="LTS23" s="65"/>
      <c r="LTT23" s="65"/>
      <c r="LTU23" s="65"/>
      <c r="LTV23" s="65"/>
      <c r="LTW23" s="65"/>
      <c r="LTX23" s="65"/>
      <c r="LTY23" s="65"/>
      <c r="LTZ23" s="65"/>
      <c r="LUA23" s="65"/>
      <c r="LUB23" s="65"/>
      <c r="LUC23" s="65"/>
      <c r="LUD23" s="65"/>
      <c r="LUE23" s="65"/>
      <c r="LUF23" s="65"/>
      <c r="LUG23" s="65"/>
      <c r="LUH23" s="65"/>
      <c r="LUI23" s="65"/>
      <c r="LUJ23" s="65"/>
      <c r="LUK23" s="65"/>
      <c r="LUL23" s="65"/>
      <c r="LUM23" s="65"/>
      <c r="LUN23" s="65"/>
      <c r="LUO23" s="65"/>
      <c r="LUP23" s="65"/>
      <c r="LUQ23" s="65"/>
      <c r="LUR23" s="65"/>
      <c r="LUS23" s="65"/>
      <c r="LUT23" s="65"/>
      <c r="LUU23" s="65"/>
      <c r="LUV23" s="65"/>
      <c r="LUW23" s="65"/>
      <c r="LUX23" s="65"/>
      <c r="LUY23" s="65"/>
      <c r="LUZ23" s="65"/>
      <c r="LVA23" s="65"/>
      <c r="LVB23" s="65"/>
      <c r="LVC23" s="65"/>
      <c r="LVD23" s="65"/>
      <c r="LVE23" s="65"/>
      <c r="LVF23" s="65"/>
      <c r="LVG23" s="65"/>
      <c r="LVH23" s="65"/>
      <c r="LVI23" s="65"/>
      <c r="LVJ23" s="65"/>
      <c r="LVK23" s="65"/>
      <c r="LVL23" s="65"/>
      <c r="LVM23" s="65"/>
      <c r="LVN23" s="65"/>
      <c r="LVO23" s="65"/>
      <c r="LVP23" s="65"/>
      <c r="LVQ23" s="65"/>
      <c r="LVR23" s="65"/>
      <c r="LVS23" s="65"/>
      <c r="LVT23" s="65"/>
      <c r="LVU23" s="65"/>
      <c r="LVV23" s="65"/>
      <c r="LVW23" s="65"/>
      <c r="LVX23" s="65"/>
      <c r="LVY23" s="65"/>
      <c r="LVZ23" s="65"/>
      <c r="LWA23" s="65"/>
      <c r="LWB23" s="65"/>
      <c r="LWC23" s="65"/>
      <c r="LWD23" s="65"/>
      <c r="LWE23" s="65"/>
      <c r="LWF23" s="65"/>
      <c r="LWG23" s="65"/>
      <c r="LWH23" s="65"/>
      <c r="LWI23" s="65"/>
      <c r="LWJ23" s="65"/>
      <c r="LWK23" s="65"/>
      <c r="LWL23" s="65"/>
      <c r="LWM23" s="65"/>
      <c r="LWN23" s="65"/>
      <c r="LWO23" s="65"/>
      <c r="LWP23" s="65"/>
      <c r="LWQ23" s="65"/>
      <c r="LWR23" s="65"/>
      <c r="LWS23" s="65"/>
      <c r="LWT23" s="65"/>
      <c r="LWU23" s="65"/>
      <c r="LWV23" s="65"/>
      <c r="LWW23" s="65"/>
      <c r="LWX23" s="65"/>
      <c r="LWY23" s="65"/>
      <c r="LWZ23" s="65"/>
      <c r="LXA23" s="65"/>
      <c r="LXB23" s="65"/>
      <c r="LXC23" s="65"/>
      <c r="LXD23" s="65"/>
      <c r="LXE23" s="65"/>
      <c r="LXF23" s="65"/>
      <c r="LXG23" s="65"/>
      <c r="LXH23" s="65"/>
      <c r="LXI23" s="65"/>
      <c r="LXJ23" s="65"/>
      <c r="LXK23" s="65"/>
      <c r="LXL23" s="65"/>
      <c r="LXM23" s="65"/>
      <c r="LXN23" s="65"/>
      <c r="LXO23" s="65"/>
      <c r="LXP23" s="65"/>
      <c r="LXQ23" s="65"/>
      <c r="LXR23" s="65"/>
      <c r="LXS23" s="65"/>
      <c r="LXT23" s="65"/>
      <c r="LXU23" s="65"/>
      <c r="LXV23" s="65"/>
      <c r="LXW23" s="65"/>
      <c r="LXX23" s="65"/>
      <c r="LXY23" s="65"/>
      <c r="LXZ23" s="65"/>
      <c r="LYA23" s="65"/>
      <c r="LYB23" s="65"/>
      <c r="LYC23" s="65"/>
      <c r="LYD23" s="65"/>
      <c r="LYE23" s="65"/>
      <c r="LYF23" s="65"/>
      <c r="LYG23" s="65"/>
      <c r="LYH23" s="65"/>
      <c r="LYI23" s="65"/>
      <c r="LYJ23" s="65"/>
      <c r="LYK23" s="65"/>
      <c r="LYL23" s="65"/>
      <c r="LYM23" s="65"/>
      <c r="LYN23" s="65"/>
      <c r="LYO23" s="65"/>
      <c r="LYP23" s="65"/>
      <c r="LYQ23" s="65"/>
      <c r="LYR23" s="65"/>
      <c r="LYS23" s="65"/>
      <c r="LYT23" s="65"/>
      <c r="LYU23" s="65"/>
      <c r="LYV23" s="65"/>
      <c r="LYW23" s="65"/>
      <c r="LYX23" s="65"/>
      <c r="LYY23" s="65"/>
      <c r="LYZ23" s="65"/>
      <c r="LZA23" s="65"/>
      <c r="LZB23" s="65"/>
      <c r="LZC23" s="65"/>
      <c r="LZD23" s="65"/>
      <c r="LZE23" s="65"/>
      <c r="LZF23" s="65"/>
      <c r="LZG23" s="65"/>
      <c r="LZH23" s="65"/>
      <c r="LZI23" s="65"/>
      <c r="LZJ23" s="65"/>
      <c r="LZK23" s="65"/>
      <c r="LZL23" s="65"/>
      <c r="LZM23" s="65"/>
      <c r="LZN23" s="65"/>
      <c r="LZO23" s="65"/>
      <c r="LZP23" s="65"/>
      <c r="LZQ23" s="65"/>
      <c r="LZR23" s="65"/>
      <c r="LZS23" s="65"/>
      <c r="LZT23" s="65"/>
      <c r="LZU23" s="65"/>
      <c r="LZV23" s="65"/>
      <c r="LZW23" s="65"/>
      <c r="LZX23" s="65"/>
      <c r="LZY23" s="65"/>
      <c r="LZZ23" s="65"/>
      <c r="MAA23" s="65"/>
      <c r="MAB23" s="65"/>
      <c r="MAC23" s="65"/>
      <c r="MAD23" s="65"/>
      <c r="MAE23" s="65"/>
      <c r="MAF23" s="65"/>
      <c r="MAG23" s="65"/>
      <c r="MAH23" s="65"/>
      <c r="MAI23" s="65"/>
      <c r="MAJ23" s="65"/>
      <c r="MAK23" s="65"/>
      <c r="MAL23" s="65"/>
      <c r="MAM23" s="65"/>
      <c r="MAN23" s="65"/>
      <c r="MAO23" s="65"/>
      <c r="MAP23" s="65"/>
      <c r="MAQ23" s="65"/>
      <c r="MAR23" s="65"/>
      <c r="MAS23" s="65"/>
      <c r="MAT23" s="65"/>
      <c r="MAU23" s="65"/>
      <c r="MAV23" s="65"/>
      <c r="MAW23" s="65"/>
      <c r="MAX23" s="65"/>
      <c r="MAY23" s="65"/>
      <c r="MAZ23" s="65"/>
      <c r="MBA23" s="65"/>
      <c r="MBB23" s="65"/>
      <c r="MBC23" s="65"/>
      <c r="MBD23" s="65"/>
      <c r="MBE23" s="65"/>
      <c r="MBF23" s="65"/>
      <c r="MBG23" s="65"/>
      <c r="MBH23" s="65"/>
      <c r="MBI23" s="65"/>
      <c r="MBJ23" s="65"/>
      <c r="MBK23" s="65"/>
      <c r="MBL23" s="65"/>
      <c r="MBM23" s="65"/>
      <c r="MBN23" s="65"/>
      <c r="MBO23" s="65"/>
      <c r="MBP23" s="65"/>
      <c r="MBQ23" s="65"/>
      <c r="MBR23" s="65"/>
      <c r="MBS23" s="65"/>
      <c r="MBT23" s="65"/>
      <c r="MBU23" s="65"/>
      <c r="MBV23" s="65"/>
      <c r="MBW23" s="65"/>
      <c r="MBX23" s="65"/>
      <c r="MBY23" s="65"/>
      <c r="MBZ23" s="65"/>
      <c r="MCA23" s="65"/>
      <c r="MCB23" s="65"/>
      <c r="MCC23" s="65"/>
      <c r="MCD23" s="65"/>
      <c r="MCE23" s="65"/>
      <c r="MCF23" s="65"/>
      <c r="MCG23" s="65"/>
      <c r="MCH23" s="65"/>
      <c r="MCI23" s="65"/>
      <c r="MCJ23" s="65"/>
      <c r="MCK23" s="65"/>
      <c r="MCL23" s="65"/>
      <c r="MCM23" s="65"/>
      <c r="MCN23" s="65"/>
      <c r="MCO23" s="65"/>
      <c r="MCP23" s="65"/>
      <c r="MCQ23" s="65"/>
      <c r="MCR23" s="65"/>
      <c r="MCS23" s="65"/>
      <c r="MCT23" s="65"/>
      <c r="MCU23" s="65"/>
      <c r="MCV23" s="65"/>
      <c r="MCW23" s="65"/>
      <c r="MCX23" s="65"/>
      <c r="MCY23" s="65"/>
      <c r="MCZ23" s="65"/>
      <c r="MDA23" s="65"/>
      <c r="MDB23" s="65"/>
      <c r="MDC23" s="65"/>
      <c r="MDD23" s="65"/>
      <c r="MDE23" s="65"/>
      <c r="MDF23" s="65"/>
      <c r="MDG23" s="65"/>
      <c r="MDH23" s="65"/>
      <c r="MDI23" s="65"/>
      <c r="MDJ23" s="65"/>
      <c r="MDK23" s="65"/>
      <c r="MDL23" s="65"/>
      <c r="MDM23" s="65"/>
      <c r="MDN23" s="65"/>
      <c r="MDO23" s="65"/>
      <c r="MDP23" s="65"/>
      <c r="MDQ23" s="65"/>
      <c r="MDR23" s="65"/>
      <c r="MDS23" s="65"/>
      <c r="MDT23" s="65"/>
      <c r="MDU23" s="65"/>
      <c r="MDV23" s="65"/>
      <c r="MDW23" s="65"/>
      <c r="MDX23" s="65"/>
      <c r="MDY23" s="65"/>
      <c r="MDZ23" s="65"/>
      <c r="MEA23" s="65"/>
      <c r="MEB23" s="65"/>
      <c r="MEC23" s="65"/>
      <c r="MED23" s="65"/>
      <c r="MEE23" s="65"/>
      <c r="MEF23" s="65"/>
      <c r="MEG23" s="65"/>
      <c r="MEH23" s="65"/>
      <c r="MEI23" s="65"/>
      <c r="MEJ23" s="65"/>
      <c r="MEK23" s="65"/>
      <c r="MEL23" s="65"/>
      <c r="MEM23" s="65"/>
      <c r="MEN23" s="65"/>
      <c r="MEO23" s="65"/>
      <c r="MEP23" s="65"/>
      <c r="MEQ23" s="65"/>
      <c r="MER23" s="65"/>
      <c r="MES23" s="65"/>
      <c r="MET23" s="65"/>
      <c r="MEU23" s="65"/>
      <c r="MEV23" s="65"/>
      <c r="MEW23" s="65"/>
      <c r="MEX23" s="65"/>
      <c r="MEY23" s="65"/>
      <c r="MEZ23" s="65"/>
      <c r="MFA23" s="65"/>
      <c r="MFB23" s="65"/>
      <c r="MFC23" s="65"/>
      <c r="MFD23" s="65"/>
      <c r="MFE23" s="65"/>
      <c r="MFF23" s="65"/>
      <c r="MFG23" s="65"/>
      <c r="MFH23" s="65"/>
      <c r="MFI23" s="65"/>
      <c r="MFJ23" s="65"/>
      <c r="MFK23" s="65"/>
      <c r="MFL23" s="65"/>
      <c r="MFM23" s="65"/>
      <c r="MFN23" s="65"/>
      <c r="MFO23" s="65"/>
      <c r="MFP23" s="65"/>
      <c r="MFQ23" s="65"/>
      <c r="MFR23" s="65"/>
      <c r="MFS23" s="65"/>
      <c r="MFT23" s="65"/>
      <c r="MFU23" s="65"/>
      <c r="MFV23" s="65"/>
      <c r="MFW23" s="65"/>
      <c r="MFX23" s="65"/>
      <c r="MFY23" s="65"/>
      <c r="MFZ23" s="65"/>
      <c r="MGA23" s="65"/>
      <c r="MGB23" s="65"/>
      <c r="MGC23" s="65"/>
      <c r="MGD23" s="65"/>
      <c r="MGE23" s="65"/>
      <c r="MGF23" s="65"/>
      <c r="MGG23" s="65"/>
      <c r="MGH23" s="65"/>
      <c r="MGI23" s="65"/>
      <c r="MGJ23" s="65"/>
      <c r="MGK23" s="65"/>
      <c r="MGL23" s="65"/>
      <c r="MGM23" s="65"/>
      <c r="MGN23" s="65"/>
      <c r="MGO23" s="65"/>
      <c r="MGP23" s="65"/>
      <c r="MGQ23" s="65"/>
      <c r="MGR23" s="65"/>
      <c r="MGS23" s="65"/>
      <c r="MGT23" s="65"/>
      <c r="MGU23" s="65"/>
      <c r="MGV23" s="65"/>
      <c r="MGW23" s="65"/>
      <c r="MGX23" s="65"/>
      <c r="MGY23" s="65"/>
      <c r="MGZ23" s="65"/>
      <c r="MHA23" s="65"/>
      <c r="MHB23" s="65"/>
      <c r="MHC23" s="65"/>
      <c r="MHD23" s="65"/>
      <c r="MHE23" s="65"/>
      <c r="MHF23" s="65"/>
      <c r="MHG23" s="65"/>
      <c r="MHH23" s="65"/>
      <c r="MHI23" s="65"/>
      <c r="MHJ23" s="65"/>
      <c r="MHK23" s="65"/>
      <c r="MHL23" s="65"/>
      <c r="MHM23" s="65"/>
      <c r="MHN23" s="65"/>
      <c r="MHO23" s="65"/>
      <c r="MHP23" s="65"/>
      <c r="MHQ23" s="65"/>
      <c r="MHR23" s="65"/>
      <c r="MHS23" s="65"/>
      <c r="MHT23" s="65"/>
      <c r="MHU23" s="65"/>
      <c r="MHV23" s="65"/>
      <c r="MHW23" s="65"/>
      <c r="MHX23" s="65"/>
      <c r="MHY23" s="65"/>
      <c r="MHZ23" s="65"/>
      <c r="MIA23" s="65"/>
      <c r="MIB23" s="65"/>
      <c r="MIC23" s="65"/>
      <c r="MID23" s="65"/>
      <c r="MIE23" s="65"/>
      <c r="MIF23" s="65"/>
      <c r="MIG23" s="65"/>
      <c r="MIH23" s="65"/>
      <c r="MII23" s="65"/>
      <c r="MIJ23" s="65"/>
      <c r="MIK23" s="65"/>
      <c r="MIL23" s="65"/>
      <c r="MIM23" s="65"/>
      <c r="MIN23" s="65"/>
      <c r="MIO23" s="65"/>
      <c r="MIP23" s="65"/>
      <c r="MIQ23" s="65"/>
      <c r="MIR23" s="65"/>
      <c r="MIS23" s="65"/>
      <c r="MIT23" s="65"/>
      <c r="MIU23" s="65"/>
      <c r="MIV23" s="65"/>
      <c r="MIW23" s="65"/>
      <c r="MIX23" s="65"/>
      <c r="MIY23" s="65"/>
      <c r="MIZ23" s="65"/>
      <c r="MJA23" s="65"/>
      <c r="MJB23" s="65"/>
      <c r="MJC23" s="65"/>
      <c r="MJD23" s="65"/>
      <c r="MJE23" s="65"/>
      <c r="MJF23" s="65"/>
      <c r="MJG23" s="65"/>
      <c r="MJH23" s="65"/>
      <c r="MJI23" s="65"/>
      <c r="MJJ23" s="65"/>
      <c r="MJK23" s="65"/>
      <c r="MJL23" s="65"/>
      <c r="MJM23" s="65"/>
      <c r="MJN23" s="65"/>
      <c r="MJO23" s="65"/>
      <c r="MJP23" s="65"/>
      <c r="MJQ23" s="65"/>
      <c r="MJR23" s="65"/>
      <c r="MJS23" s="65"/>
      <c r="MJT23" s="65"/>
      <c r="MJU23" s="65"/>
      <c r="MJV23" s="65"/>
      <c r="MJW23" s="65"/>
      <c r="MJX23" s="65"/>
      <c r="MJY23" s="65"/>
      <c r="MJZ23" s="65"/>
      <c r="MKA23" s="65"/>
      <c r="MKB23" s="65"/>
      <c r="MKC23" s="65"/>
      <c r="MKD23" s="65"/>
      <c r="MKE23" s="65"/>
      <c r="MKF23" s="65"/>
      <c r="MKG23" s="65"/>
      <c r="MKH23" s="65"/>
      <c r="MKI23" s="65"/>
      <c r="MKJ23" s="65"/>
      <c r="MKK23" s="65"/>
      <c r="MKL23" s="65"/>
      <c r="MKM23" s="65"/>
      <c r="MKN23" s="65"/>
      <c r="MKO23" s="65"/>
      <c r="MKP23" s="65"/>
      <c r="MKQ23" s="65"/>
      <c r="MKR23" s="65"/>
      <c r="MKS23" s="65"/>
      <c r="MKT23" s="65"/>
      <c r="MKU23" s="65"/>
      <c r="MKV23" s="65"/>
      <c r="MKW23" s="65"/>
      <c r="MKX23" s="65"/>
      <c r="MKY23" s="65"/>
      <c r="MKZ23" s="65"/>
      <c r="MLA23" s="65"/>
      <c r="MLB23" s="65"/>
      <c r="MLC23" s="65"/>
      <c r="MLD23" s="65"/>
      <c r="MLE23" s="65"/>
      <c r="MLF23" s="65"/>
      <c r="MLG23" s="65"/>
      <c r="MLH23" s="65"/>
      <c r="MLI23" s="65"/>
      <c r="MLJ23" s="65"/>
      <c r="MLK23" s="65"/>
      <c r="MLL23" s="65"/>
      <c r="MLM23" s="65"/>
      <c r="MLN23" s="65"/>
      <c r="MLO23" s="65"/>
      <c r="MLP23" s="65"/>
      <c r="MLQ23" s="65"/>
      <c r="MLR23" s="65"/>
      <c r="MLS23" s="65"/>
      <c r="MLT23" s="65"/>
      <c r="MLU23" s="65"/>
      <c r="MLV23" s="65"/>
      <c r="MLW23" s="65"/>
      <c r="MLX23" s="65"/>
      <c r="MLY23" s="65"/>
      <c r="MLZ23" s="65"/>
      <c r="MMA23" s="65"/>
      <c r="MMB23" s="65"/>
      <c r="MMC23" s="65"/>
      <c r="MMD23" s="65"/>
      <c r="MME23" s="65"/>
      <c r="MMF23" s="65"/>
      <c r="MMG23" s="65"/>
      <c r="MMH23" s="65"/>
      <c r="MMI23" s="65"/>
      <c r="MMJ23" s="65"/>
      <c r="MMK23" s="65"/>
      <c r="MML23" s="65"/>
      <c r="MMM23" s="65"/>
      <c r="MMN23" s="65"/>
      <c r="MMO23" s="65"/>
      <c r="MMP23" s="65"/>
      <c r="MMQ23" s="65"/>
      <c r="MMR23" s="65"/>
      <c r="MMS23" s="65"/>
      <c r="MMT23" s="65"/>
      <c r="MMU23" s="65"/>
      <c r="MMV23" s="65"/>
      <c r="MMW23" s="65"/>
      <c r="MMX23" s="65"/>
      <c r="MMY23" s="65"/>
      <c r="MMZ23" s="65"/>
      <c r="MNA23" s="65"/>
      <c r="MNB23" s="65"/>
      <c r="MNC23" s="65"/>
      <c r="MND23" s="65"/>
      <c r="MNE23" s="65"/>
      <c r="MNF23" s="65"/>
      <c r="MNG23" s="65"/>
      <c r="MNH23" s="65"/>
      <c r="MNI23" s="65"/>
      <c r="MNJ23" s="65"/>
      <c r="MNK23" s="65"/>
      <c r="MNL23" s="65"/>
      <c r="MNM23" s="65"/>
      <c r="MNN23" s="65"/>
      <c r="MNO23" s="65"/>
      <c r="MNP23" s="65"/>
      <c r="MNQ23" s="65"/>
      <c r="MNR23" s="65"/>
      <c r="MNS23" s="65"/>
      <c r="MNT23" s="65"/>
      <c r="MNU23" s="65"/>
      <c r="MNV23" s="65"/>
      <c r="MNW23" s="65"/>
      <c r="MNX23" s="65"/>
      <c r="MNY23" s="65"/>
      <c r="MNZ23" s="65"/>
      <c r="MOA23" s="65"/>
      <c r="MOB23" s="65"/>
      <c r="MOC23" s="65"/>
      <c r="MOD23" s="65"/>
      <c r="MOE23" s="65"/>
      <c r="MOF23" s="65"/>
      <c r="MOG23" s="65"/>
      <c r="MOH23" s="65"/>
      <c r="MOI23" s="65"/>
      <c r="MOJ23" s="65"/>
      <c r="MOK23" s="65"/>
      <c r="MOL23" s="65"/>
      <c r="MOM23" s="65"/>
      <c r="MON23" s="65"/>
      <c r="MOO23" s="65"/>
      <c r="MOP23" s="65"/>
      <c r="MOQ23" s="65"/>
      <c r="MOR23" s="65"/>
      <c r="MOS23" s="65"/>
      <c r="MOT23" s="65"/>
      <c r="MOU23" s="65"/>
      <c r="MOV23" s="65"/>
      <c r="MOW23" s="65"/>
      <c r="MOX23" s="65"/>
      <c r="MOY23" s="65"/>
      <c r="MOZ23" s="65"/>
      <c r="MPA23" s="65"/>
      <c r="MPB23" s="65"/>
      <c r="MPC23" s="65"/>
      <c r="MPD23" s="65"/>
      <c r="MPE23" s="65"/>
      <c r="MPF23" s="65"/>
      <c r="MPG23" s="65"/>
      <c r="MPH23" s="65"/>
      <c r="MPI23" s="65"/>
      <c r="MPJ23" s="65"/>
      <c r="MPK23" s="65"/>
      <c r="MPL23" s="65"/>
      <c r="MPM23" s="65"/>
      <c r="MPN23" s="65"/>
      <c r="MPO23" s="65"/>
      <c r="MPP23" s="65"/>
      <c r="MPQ23" s="65"/>
      <c r="MPR23" s="65"/>
      <c r="MPS23" s="65"/>
      <c r="MPT23" s="65"/>
      <c r="MPU23" s="65"/>
      <c r="MPV23" s="65"/>
      <c r="MPW23" s="65"/>
      <c r="MPX23" s="65"/>
      <c r="MPY23" s="65"/>
      <c r="MPZ23" s="65"/>
      <c r="MQA23" s="65"/>
      <c r="MQB23" s="65"/>
      <c r="MQC23" s="65"/>
      <c r="MQD23" s="65"/>
      <c r="MQE23" s="65"/>
      <c r="MQF23" s="65"/>
      <c r="MQG23" s="65"/>
      <c r="MQH23" s="65"/>
      <c r="MQI23" s="65"/>
      <c r="MQJ23" s="65"/>
      <c r="MQK23" s="65"/>
      <c r="MQL23" s="65"/>
      <c r="MQM23" s="65"/>
      <c r="MQN23" s="65"/>
      <c r="MQO23" s="65"/>
      <c r="MQP23" s="65"/>
      <c r="MQQ23" s="65"/>
      <c r="MQR23" s="65"/>
      <c r="MQS23" s="65"/>
      <c r="MQT23" s="65"/>
      <c r="MQU23" s="65"/>
      <c r="MQV23" s="65"/>
      <c r="MQW23" s="65"/>
      <c r="MQX23" s="65"/>
      <c r="MQY23" s="65"/>
      <c r="MQZ23" s="65"/>
      <c r="MRA23" s="65"/>
      <c r="MRB23" s="65"/>
      <c r="MRC23" s="65"/>
      <c r="MRD23" s="65"/>
      <c r="MRE23" s="65"/>
      <c r="MRF23" s="65"/>
      <c r="MRG23" s="65"/>
      <c r="MRH23" s="65"/>
      <c r="MRI23" s="65"/>
      <c r="MRJ23" s="65"/>
      <c r="MRK23" s="65"/>
      <c r="MRL23" s="65"/>
      <c r="MRM23" s="65"/>
      <c r="MRN23" s="65"/>
      <c r="MRO23" s="65"/>
      <c r="MRP23" s="65"/>
      <c r="MRQ23" s="65"/>
      <c r="MRR23" s="65"/>
      <c r="MRS23" s="65"/>
      <c r="MRT23" s="65"/>
      <c r="MRU23" s="65"/>
      <c r="MRV23" s="65"/>
      <c r="MRW23" s="65"/>
      <c r="MRX23" s="65"/>
      <c r="MRY23" s="65"/>
      <c r="MRZ23" s="65"/>
      <c r="MSA23" s="65"/>
      <c r="MSB23" s="65"/>
      <c r="MSC23" s="65"/>
      <c r="MSD23" s="65"/>
      <c r="MSE23" s="65"/>
      <c r="MSF23" s="65"/>
      <c r="MSG23" s="65"/>
      <c r="MSH23" s="65"/>
      <c r="MSI23" s="65"/>
      <c r="MSJ23" s="65"/>
      <c r="MSK23" s="65"/>
      <c r="MSL23" s="65"/>
      <c r="MSM23" s="65"/>
      <c r="MSN23" s="65"/>
      <c r="MSO23" s="65"/>
      <c r="MSP23" s="65"/>
      <c r="MSQ23" s="65"/>
      <c r="MSR23" s="65"/>
      <c r="MSS23" s="65"/>
      <c r="MST23" s="65"/>
      <c r="MSU23" s="65"/>
      <c r="MSV23" s="65"/>
      <c r="MSW23" s="65"/>
      <c r="MSX23" s="65"/>
      <c r="MSY23" s="65"/>
      <c r="MSZ23" s="65"/>
      <c r="MTA23" s="65"/>
      <c r="MTB23" s="65"/>
      <c r="MTC23" s="65"/>
      <c r="MTD23" s="65"/>
      <c r="MTE23" s="65"/>
      <c r="MTF23" s="65"/>
      <c r="MTG23" s="65"/>
      <c r="MTH23" s="65"/>
      <c r="MTI23" s="65"/>
      <c r="MTJ23" s="65"/>
      <c r="MTK23" s="65"/>
      <c r="MTL23" s="65"/>
      <c r="MTM23" s="65"/>
      <c r="MTN23" s="65"/>
      <c r="MTO23" s="65"/>
      <c r="MTP23" s="65"/>
      <c r="MTQ23" s="65"/>
      <c r="MTR23" s="65"/>
      <c r="MTS23" s="65"/>
      <c r="MTT23" s="65"/>
      <c r="MTU23" s="65"/>
      <c r="MTV23" s="65"/>
      <c r="MTW23" s="65"/>
      <c r="MTX23" s="65"/>
      <c r="MTY23" s="65"/>
      <c r="MTZ23" s="65"/>
      <c r="MUA23" s="65"/>
      <c r="MUB23" s="65"/>
      <c r="MUC23" s="65"/>
      <c r="MUD23" s="65"/>
      <c r="MUE23" s="65"/>
      <c r="MUF23" s="65"/>
      <c r="MUG23" s="65"/>
      <c r="MUH23" s="65"/>
      <c r="MUI23" s="65"/>
      <c r="MUJ23" s="65"/>
      <c r="MUK23" s="65"/>
      <c r="MUL23" s="65"/>
      <c r="MUM23" s="65"/>
      <c r="MUN23" s="65"/>
      <c r="MUO23" s="65"/>
      <c r="MUP23" s="65"/>
      <c r="MUQ23" s="65"/>
      <c r="MUR23" s="65"/>
      <c r="MUS23" s="65"/>
      <c r="MUT23" s="65"/>
      <c r="MUU23" s="65"/>
      <c r="MUV23" s="65"/>
      <c r="MUW23" s="65"/>
      <c r="MUX23" s="65"/>
      <c r="MUY23" s="65"/>
      <c r="MUZ23" s="65"/>
      <c r="MVA23" s="65"/>
      <c r="MVB23" s="65"/>
      <c r="MVC23" s="65"/>
      <c r="MVD23" s="65"/>
      <c r="MVE23" s="65"/>
      <c r="MVF23" s="65"/>
      <c r="MVG23" s="65"/>
      <c r="MVH23" s="65"/>
      <c r="MVI23" s="65"/>
      <c r="MVJ23" s="65"/>
      <c r="MVK23" s="65"/>
      <c r="MVL23" s="65"/>
      <c r="MVM23" s="65"/>
      <c r="MVN23" s="65"/>
      <c r="MVO23" s="65"/>
      <c r="MVP23" s="65"/>
      <c r="MVQ23" s="65"/>
      <c r="MVR23" s="65"/>
      <c r="MVS23" s="65"/>
      <c r="MVT23" s="65"/>
      <c r="MVU23" s="65"/>
      <c r="MVV23" s="65"/>
      <c r="MVW23" s="65"/>
      <c r="MVX23" s="65"/>
      <c r="MVY23" s="65"/>
      <c r="MVZ23" s="65"/>
      <c r="MWA23" s="65"/>
      <c r="MWB23" s="65"/>
      <c r="MWC23" s="65"/>
      <c r="MWD23" s="65"/>
      <c r="MWE23" s="65"/>
      <c r="MWF23" s="65"/>
      <c r="MWG23" s="65"/>
      <c r="MWH23" s="65"/>
      <c r="MWI23" s="65"/>
      <c r="MWJ23" s="65"/>
      <c r="MWK23" s="65"/>
      <c r="MWL23" s="65"/>
      <c r="MWM23" s="65"/>
      <c r="MWN23" s="65"/>
      <c r="MWO23" s="65"/>
      <c r="MWP23" s="65"/>
      <c r="MWQ23" s="65"/>
      <c r="MWR23" s="65"/>
      <c r="MWS23" s="65"/>
      <c r="MWT23" s="65"/>
      <c r="MWU23" s="65"/>
      <c r="MWV23" s="65"/>
      <c r="MWW23" s="65"/>
      <c r="MWX23" s="65"/>
      <c r="MWY23" s="65"/>
      <c r="MWZ23" s="65"/>
      <c r="MXA23" s="65"/>
      <c r="MXB23" s="65"/>
      <c r="MXC23" s="65"/>
      <c r="MXD23" s="65"/>
      <c r="MXE23" s="65"/>
      <c r="MXF23" s="65"/>
      <c r="MXG23" s="65"/>
      <c r="MXH23" s="65"/>
      <c r="MXI23" s="65"/>
      <c r="MXJ23" s="65"/>
      <c r="MXK23" s="65"/>
      <c r="MXL23" s="65"/>
      <c r="MXM23" s="65"/>
      <c r="MXN23" s="65"/>
      <c r="MXO23" s="65"/>
      <c r="MXP23" s="65"/>
      <c r="MXQ23" s="65"/>
      <c r="MXR23" s="65"/>
      <c r="MXS23" s="65"/>
      <c r="MXT23" s="65"/>
      <c r="MXU23" s="65"/>
      <c r="MXV23" s="65"/>
      <c r="MXW23" s="65"/>
      <c r="MXX23" s="65"/>
      <c r="MXY23" s="65"/>
      <c r="MXZ23" s="65"/>
      <c r="MYA23" s="65"/>
      <c r="MYB23" s="65"/>
      <c r="MYC23" s="65"/>
      <c r="MYD23" s="65"/>
      <c r="MYE23" s="65"/>
      <c r="MYF23" s="65"/>
      <c r="MYG23" s="65"/>
      <c r="MYH23" s="65"/>
      <c r="MYI23" s="65"/>
      <c r="MYJ23" s="65"/>
      <c r="MYK23" s="65"/>
      <c r="MYL23" s="65"/>
      <c r="MYM23" s="65"/>
      <c r="MYN23" s="65"/>
      <c r="MYO23" s="65"/>
      <c r="MYP23" s="65"/>
      <c r="MYQ23" s="65"/>
      <c r="MYR23" s="65"/>
      <c r="MYS23" s="65"/>
      <c r="MYT23" s="65"/>
      <c r="MYU23" s="65"/>
      <c r="MYV23" s="65"/>
      <c r="MYW23" s="65"/>
      <c r="MYX23" s="65"/>
      <c r="MYY23" s="65"/>
      <c r="MYZ23" s="65"/>
      <c r="MZA23" s="65"/>
      <c r="MZB23" s="65"/>
      <c r="MZC23" s="65"/>
      <c r="MZD23" s="65"/>
      <c r="MZE23" s="65"/>
      <c r="MZF23" s="65"/>
      <c r="MZG23" s="65"/>
      <c r="MZH23" s="65"/>
      <c r="MZI23" s="65"/>
      <c r="MZJ23" s="65"/>
      <c r="MZK23" s="65"/>
      <c r="MZL23" s="65"/>
      <c r="MZM23" s="65"/>
      <c r="MZN23" s="65"/>
      <c r="MZO23" s="65"/>
      <c r="MZP23" s="65"/>
      <c r="MZQ23" s="65"/>
      <c r="MZR23" s="65"/>
      <c r="MZS23" s="65"/>
      <c r="MZT23" s="65"/>
      <c r="MZU23" s="65"/>
      <c r="MZV23" s="65"/>
      <c r="MZW23" s="65"/>
      <c r="MZX23" s="65"/>
      <c r="MZY23" s="65"/>
      <c r="MZZ23" s="65"/>
      <c r="NAA23" s="65"/>
      <c r="NAB23" s="65"/>
      <c r="NAC23" s="65"/>
      <c r="NAD23" s="65"/>
      <c r="NAE23" s="65"/>
      <c r="NAF23" s="65"/>
      <c r="NAG23" s="65"/>
      <c r="NAH23" s="65"/>
      <c r="NAI23" s="65"/>
      <c r="NAJ23" s="65"/>
      <c r="NAK23" s="65"/>
      <c r="NAL23" s="65"/>
      <c r="NAM23" s="65"/>
      <c r="NAN23" s="65"/>
      <c r="NAO23" s="65"/>
      <c r="NAP23" s="65"/>
      <c r="NAQ23" s="65"/>
      <c r="NAR23" s="65"/>
      <c r="NAS23" s="65"/>
      <c r="NAT23" s="65"/>
      <c r="NAU23" s="65"/>
      <c r="NAV23" s="65"/>
      <c r="NAW23" s="65"/>
      <c r="NAX23" s="65"/>
      <c r="NAY23" s="65"/>
      <c r="NAZ23" s="65"/>
      <c r="NBA23" s="65"/>
      <c r="NBB23" s="65"/>
      <c r="NBC23" s="65"/>
      <c r="NBD23" s="65"/>
      <c r="NBE23" s="65"/>
      <c r="NBF23" s="65"/>
      <c r="NBG23" s="65"/>
      <c r="NBH23" s="65"/>
      <c r="NBI23" s="65"/>
      <c r="NBJ23" s="65"/>
      <c r="NBK23" s="65"/>
      <c r="NBL23" s="65"/>
      <c r="NBM23" s="65"/>
      <c r="NBN23" s="65"/>
      <c r="NBO23" s="65"/>
      <c r="NBP23" s="65"/>
      <c r="NBQ23" s="65"/>
      <c r="NBR23" s="65"/>
      <c r="NBS23" s="65"/>
      <c r="NBT23" s="65"/>
      <c r="NBU23" s="65"/>
      <c r="NBV23" s="65"/>
      <c r="NBW23" s="65"/>
      <c r="NBX23" s="65"/>
      <c r="NBY23" s="65"/>
      <c r="NBZ23" s="65"/>
      <c r="NCA23" s="65"/>
      <c r="NCB23" s="65"/>
      <c r="NCC23" s="65"/>
      <c r="NCD23" s="65"/>
      <c r="NCE23" s="65"/>
      <c r="NCF23" s="65"/>
      <c r="NCG23" s="65"/>
      <c r="NCH23" s="65"/>
      <c r="NCI23" s="65"/>
      <c r="NCJ23" s="65"/>
      <c r="NCK23" s="65"/>
      <c r="NCL23" s="65"/>
      <c r="NCM23" s="65"/>
      <c r="NCN23" s="65"/>
      <c r="NCO23" s="65"/>
      <c r="NCP23" s="65"/>
      <c r="NCQ23" s="65"/>
      <c r="NCR23" s="65"/>
      <c r="NCS23" s="65"/>
      <c r="NCT23" s="65"/>
      <c r="NCU23" s="65"/>
      <c r="NCV23" s="65"/>
      <c r="NCW23" s="65"/>
      <c r="NCX23" s="65"/>
      <c r="NCY23" s="65"/>
      <c r="NCZ23" s="65"/>
      <c r="NDA23" s="65"/>
      <c r="NDB23" s="65"/>
      <c r="NDC23" s="65"/>
      <c r="NDD23" s="65"/>
      <c r="NDE23" s="65"/>
      <c r="NDF23" s="65"/>
      <c r="NDG23" s="65"/>
      <c r="NDH23" s="65"/>
      <c r="NDI23" s="65"/>
      <c r="NDJ23" s="65"/>
      <c r="NDK23" s="65"/>
      <c r="NDL23" s="65"/>
      <c r="NDM23" s="65"/>
      <c r="NDN23" s="65"/>
      <c r="NDO23" s="65"/>
      <c r="NDP23" s="65"/>
      <c r="NDQ23" s="65"/>
      <c r="NDR23" s="65"/>
      <c r="NDS23" s="65"/>
      <c r="NDT23" s="65"/>
      <c r="NDU23" s="65"/>
      <c r="NDV23" s="65"/>
      <c r="NDW23" s="65"/>
      <c r="NDX23" s="65"/>
      <c r="NDY23" s="65"/>
      <c r="NDZ23" s="65"/>
      <c r="NEA23" s="65"/>
      <c r="NEB23" s="65"/>
      <c r="NEC23" s="65"/>
      <c r="NED23" s="65"/>
      <c r="NEE23" s="65"/>
      <c r="NEF23" s="65"/>
      <c r="NEG23" s="65"/>
      <c r="NEH23" s="65"/>
      <c r="NEI23" s="65"/>
      <c r="NEJ23" s="65"/>
      <c r="NEK23" s="65"/>
      <c r="NEL23" s="65"/>
      <c r="NEM23" s="65"/>
      <c r="NEN23" s="65"/>
      <c r="NEO23" s="65"/>
      <c r="NEP23" s="65"/>
      <c r="NEQ23" s="65"/>
      <c r="NER23" s="65"/>
      <c r="NES23" s="65"/>
      <c r="NET23" s="65"/>
      <c r="NEU23" s="65"/>
      <c r="NEV23" s="65"/>
      <c r="NEW23" s="65"/>
      <c r="NEX23" s="65"/>
      <c r="NEY23" s="65"/>
      <c r="NEZ23" s="65"/>
      <c r="NFA23" s="65"/>
      <c r="NFB23" s="65"/>
      <c r="NFC23" s="65"/>
      <c r="NFD23" s="65"/>
      <c r="NFE23" s="65"/>
      <c r="NFF23" s="65"/>
      <c r="NFG23" s="65"/>
      <c r="NFH23" s="65"/>
      <c r="NFI23" s="65"/>
      <c r="NFJ23" s="65"/>
      <c r="NFK23" s="65"/>
      <c r="NFL23" s="65"/>
      <c r="NFM23" s="65"/>
      <c r="NFN23" s="65"/>
      <c r="NFO23" s="65"/>
      <c r="NFP23" s="65"/>
      <c r="NFQ23" s="65"/>
      <c r="NFR23" s="65"/>
      <c r="NFS23" s="65"/>
      <c r="NFT23" s="65"/>
      <c r="NFU23" s="65"/>
      <c r="NFV23" s="65"/>
      <c r="NFW23" s="65"/>
      <c r="NFX23" s="65"/>
      <c r="NFY23" s="65"/>
      <c r="NFZ23" s="65"/>
      <c r="NGA23" s="65"/>
      <c r="NGB23" s="65"/>
      <c r="NGC23" s="65"/>
      <c r="NGD23" s="65"/>
      <c r="NGE23" s="65"/>
      <c r="NGF23" s="65"/>
      <c r="NGG23" s="65"/>
      <c r="NGH23" s="65"/>
      <c r="NGI23" s="65"/>
      <c r="NGJ23" s="65"/>
      <c r="NGK23" s="65"/>
      <c r="NGL23" s="65"/>
      <c r="NGM23" s="65"/>
      <c r="NGN23" s="65"/>
      <c r="NGO23" s="65"/>
      <c r="NGP23" s="65"/>
      <c r="NGQ23" s="65"/>
      <c r="NGR23" s="65"/>
      <c r="NGS23" s="65"/>
      <c r="NGT23" s="65"/>
      <c r="NGU23" s="65"/>
      <c r="NGV23" s="65"/>
      <c r="NGW23" s="65"/>
      <c r="NGX23" s="65"/>
      <c r="NGY23" s="65"/>
      <c r="NGZ23" s="65"/>
      <c r="NHA23" s="65"/>
      <c r="NHB23" s="65"/>
      <c r="NHC23" s="65"/>
      <c r="NHD23" s="65"/>
      <c r="NHE23" s="65"/>
      <c r="NHF23" s="65"/>
      <c r="NHG23" s="65"/>
      <c r="NHH23" s="65"/>
      <c r="NHI23" s="65"/>
      <c r="NHJ23" s="65"/>
      <c r="NHK23" s="65"/>
      <c r="NHL23" s="65"/>
      <c r="NHM23" s="65"/>
      <c r="NHN23" s="65"/>
      <c r="NHO23" s="65"/>
      <c r="NHP23" s="65"/>
      <c r="NHQ23" s="65"/>
      <c r="NHR23" s="65"/>
      <c r="NHS23" s="65"/>
      <c r="NHT23" s="65"/>
      <c r="NHU23" s="65"/>
      <c r="NHV23" s="65"/>
      <c r="NHW23" s="65"/>
      <c r="NHX23" s="65"/>
      <c r="NHY23" s="65"/>
      <c r="NHZ23" s="65"/>
      <c r="NIA23" s="65"/>
      <c r="NIB23" s="65"/>
      <c r="NIC23" s="65"/>
      <c r="NID23" s="65"/>
      <c r="NIE23" s="65"/>
      <c r="NIF23" s="65"/>
      <c r="NIG23" s="65"/>
      <c r="NIH23" s="65"/>
      <c r="NII23" s="65"/>
      <c r="NIJ23" s="65"/>
      <c r="NIK23" s="65"/>
      <c r="NIL23" s="65"/>
      <c r="NIM23" s="65"/>
      <c r="NIN23" s="65"/>
      <c r="NIO23" s="65"/>
      <c r="NIP23" s="65"/>
      <c r="NIQ23" s="65"/>
      <c r="NIR23" s="65"/>
      <c r="NIS23" s="65"/>
      <c r="NIT23" s="65"/>
      <c r="NIU23" s="65"/>
      <c r="NIV23" s="65"/>
      <c r="NIW23" s="65"/>
      <c r="NIX23" s="65"/>
      <c r="NIY23" s="65"/>
      <c r="NIZ23" s="65"/>
      <c r="NJA23" s="65"/>
      <c r="NJB23" s="65"/>
      <c r="NJC23" s="65"/>
      <c r="NJD23" s="65"/>
      <c r="NJE23" s="65"/>
      <c r="NJF23" s="65"/>
      <c r="NJG23" s="65"/>
      <c r="NJH23" s="65"/>
      <c r="NJI23" s="65"/>
      <c r="NJJ23" s="65"/>
      <c r="NJK23" s="65"/>
      <c r="NJL23" s="65"/>
      <c r="NJM23" s="65"/>
      <c r="NJN23" s="65"/>
      <c r="NJO23" s="65"/>
      <c r="NJP23" s="65"/>
      <c r="NJQ23" s="65"/>
      <c r="NJR23" s="65"/>
      <c r="NJS23" s="65"/>
      <c r="NJT23" s="65"/>
      <c r="NJU23" s="65"/>
      <c r="NJV23" s="65"/>
      <c r="NJW23" s="65"/>
      <c r="NJX23" s="65"/>
      <c r="NJY23" s="65"/>
      <c r="NJZ23" s="65"/>
      <c r="NKA23" s="65"/>
      <c r="NKB23" s="65"/>
      <c r="NKC23" s="65"/>
      <c r="NKD23" s="65"/>
      <c r="NKE23" s="65"/>
      <c r="NKF23" s="65"/>
      <c r="NKG23" s="65"/>
      <c r="NKH23" s="65"/>
      <c r="NKI23" s="65"/>
      <c r="NKJ23" s="65"/>
      <c r="NKK23" s="65"/>
      <c r="NKL23" s="65"/>
      <c r="NKM23" s="65"/>
      <c r="NKN23" s="65"/>
      <c r="NKO23" s="65"/>
      <c r="NKP23" s="65"/>
      <c r="NKQ23" s="65"/>
      <c r="NKR23" s="65"/>
      <c r="NKS23" s="65"/>
      <c r="NKT23" s="65"/>
      <c r="NKU23" s="65"/>
      <c r="NKV23" s="65"/>
      <c r="NKW23" s="65"/>
      <c r="NKX23" s="65"/>
      <c r="NKY23" s="65"/>
      <c r="NKZ23" s="65"/>
      <c r="NLA23" s="65"/>
      <c r="NLB23" s="65"/>
      <c r="NLC23" s="65"/>
      <c r="NLD23" s="65"/>
      <c r="NLE23" s="65"/>
      <c r="NLF23" s="65"/>
      <c r="NLG23" s="65"/>
      <c r="NLH23" s="65"/>
      <c r="NLI23" s="65"/>
      <c r="NLJ23" s="65"/>
      <c r="NLK23" s="65"/>
      <c r="NLL23" s="65"/>
      <c r="NLM23" s="65"/>
      <c r="NLN23" s="65"/>
      <c r="NLO23" s="65"/>
      <c r="NLP23" s="65"/>
      <c r="NLQ23" s="65"/>
      <c r="NLR23" s="65"/>
      <c r="NLS23" s="65"/>
      <c r="NLT23" s="65"/>
      <c r="NLU23" s="65"/>
      <c r="NLV23" s="65"/>
      <c r="NLW23" s="65"/>
      <c r="NLX23" s="65"/>
      <c r="NLY23" s="65"/>
      <c r="NLZ23" s="65"/>
      <c r="NMA23" s="65"/>
      <c r="NMB23" s="65"/>
      <c r="NMC23" s="65"/>
      <c r="NMD23" s="65"/>
      <c r="NME23" s="65"/>
      <c r="NMF23" s="65"/>
      <c r="NMG23" s="65"/>
      <c r="NMH23" s="65"/>
      <c r="NMI23" s="65"/>
      <c r="NMJ23" s="65"/>
      <c r="NMK23" s="65"/>
      <c r="NML23" s="65"/>
      <c r="NMM23" s="65"/>
      <c r="NMN23" s="65"/>
      <c r="NMO23" s="65"/>
      <c r="NMP23" s="65"/>
      <c r="NMQ23" s="65"/>
      <c r="NMR23" s="65"/>
      <c r="NMS23" s="65"/>
      <c r="NMT23" s="65"/>
      <c r="NMU23" s="65"/>
      <c r="NMV23" s="65"/>
      <c r="NMW23" s="65"/>
      <c r="NMX23" s="65"/>
      <c r="NMY23" s="65"/>
      <c r="NMZ23" s="65"/>
      <c r="NNA23" s="65"/>
      <c r="NNB23" s="65"/>
      <c r="NNC23" s="65"/>
      <c r="NND23" s="65"/>
      <c r="NNE23" s="65"/>
      <c r="NNF23" s="65"/>
      <c r="NNG23" s="65"/>
      <c r="NNH23" s="65"/>
      <c r="NNI23" s="65"/>
      <c r="NNJ23" s="65"/>
      <c r="NNK23" s="65"/>
      <c r="NNL23" s="65"/>
      <c r="NNM23" s="65"/>
      <c r="NNN23" s="65"/>
      <c r="NNO23" s="65"/>
      <c r="NNP23" s="65"/>
      <c r="NNQ23" s="65"/>
      <c r="NNR23" s="65"/>
      <c r="NNS23" s="65"/>
      <c r="NNT23" s="65"/>
      <c r="NNU23" s="65"/>
      <c r="NNV23" s="65"/>
      <c r="NNW23" s="65"/>
      <c r="NNX23" s="65"/>
      <c r="NNY23" s="65"/>
      <c r="NNZ23" s="65"/>
      <c r="NOA23" s="65"/>
      <c r="NOB23" s="65"/>
      <c r="NOC23" s="65"/>
      <c r="NOD23" s="65"/>
      <c r="NOE23" s="65"/>
      <c r="NOF23" s="65"/>
      <c r="NOG23" s="65"/>
      <c r="NOH23" s="65"/>
      <c r="NOI23" s="65"/>
      <c r="NOJ23" s="65"/>
      <c r="NOK23" s="65"/>
      <c r="NOL23" s="65"/>
      <c r="NOM23" s="65"/>
      <c r="NON23" s="65"/>
      <c r="NOO23" s="65"/>
      <c r="NOP23" s="65"/>
      <c r="NOQ23" s="65"/>
      <c r="NOR23" s="65"/>
      <c r="NOS23" s="65"/>
      <c r="NOT23" s="65"/>
      <c r="NOU23" s="65"/>
      <c r="NOV23" s="65"/>
      <c r="NOW23" s="65"/>
      <c r="NOX23" s="65"/>
      <c r="NOY23" s="65"/>
      <c r="NOZ23" s="65"/>
      <c r="NPA23" s="65"/>
      <c r="NPB23" s="65"/>
      <c r="NPC23" s="65"/>
      <c r="NPD23" s="65"/>
      <c r="NPE23" s="65"/>
      <c r="NPF23" s="65"/>
      <c r="NPG23" s="65"/>
      <c r="NPH23" s="65"/>
      <c r="NPI23" s="65"/>
      <c r="NPJ23" s="65"/>
      <c r="NPK23" s="65"/>
      <c r="NPL23" s="65"/>
      <c r="NPM23" s="65"/>
      <c r="NPN23" s="65"/>
      <c r="NPO23" s="65"/>
      <c r="NPP23" s="65"/>
      <c r="NPQ23" s="65"/>
      <c r="NPR23" s="65"/>
      <c r="NPS23" s="65"/>
      <c r="NPT23" s="65"/>
      <c r="NPU23" s="65"/>
      <c r="NPV23" s="65"/>
      <c r="NPW23" s="65"/>
      <c r="NPX23" s="65"/>
      <c r="NPY23" s="65"/>
      <c r="NPZ23" s="65"/>
      <c r="NQA23" s="65"/>
      <c r="NQB23" s="65"/>
      <c r="NQC23" s="65"/>
      <c r="NQD23" s="65"/>
      <c r="NQE23" s="65"/>
      <c r="NQF23" s="65"/>
      <c r="NQG23" s="65"/>
      <c r="NQH23" s="65"/>
      <c r="NQI23" s="65"/>
      <c r="NQJ23" s="65"/>
      <c r="NQK23" s="65"/>
      <c r="NQL23" s="65"/>
      <c r="NQM23" s="65"/>
      <c r="NQN23" s="65"/>
      <c r="NQO23" s="65"/>
      <c r="NQP23" s="65"/>
      <c r="NQQ23" s="65"/>
      <c r="NQR23" s="65"/>
      <c r="NQS23" s="65"/>
      <c r="NQT23" s="65"/>
      <c r="NQU23" s="65"/>
      <c r="NQV23" s="65"/>
      <c r="NQW23" s="65"/>
      <c r="NQX23" s="65"/>
      <c r="NQY23" s="65"/>
      <c r="NQZ23" s="65"/>
      <c r="NRA23" s="65"/>
      <c r="NRB23" s="65"/>
      <c r="NRC23" s="65"/>
      <c r="NRD23" s="65"/>
      <c r="NRE23" s="65"/>
      <c r="NRF23" s="65"/>
      <c r="NRG23" s="65"/>
      <c r="NRH23" s="65"/>
      <c r="NRI23" s="65"/>
      <c r="NRJ23" s="65"/>
      <c r="NRK23" s="65"/>
      <c r="NRL23" s="65"/>
      <c r="NRM23" s="65"/>
      <c r="NRN23" s="65"/>
      <c r="NRO23" s="65"/>
      <c r="NRP23" s="65"/>
      <c r="NRQ23" s="65"/>
      <c r="NRR23" s="65"/>
      <c r="NRS23" s="65"/>
      <c r="NRT23" s="65"/>
      <c r="NRU23" s="65"/>
      <c r="NRV23" s="65"/>
      <c r="NRW23" s="65"/>
      <c r="NRX23" s="65"/>
      <c r="NRY23" s="65"/>
      <c r="NRZ23" s="65"/>
      <c r="NSA23" s="65"/>
      <c r="NSB23" s="65"/>
      <c r="NSC23" s="65"/>
      <c r="NSD23" s="65"/>
      <c r="NSE23" s="65"/>
      <c r="NSF23" s="65"/>
      <c r="NSG23" s="65"/>
      <c r="NSH23" s="65"/>
      <c r="NSI23" s="65"/>
      <c r="NSJ23" s="65"/>
      <c r="NSK23" s="65"/>
      <c r="NSL23" s="65"/>
      <c r="NSM23" s="65"/>
      <c r="NSN23" s="65"/>
      <c r="NSO23" s="65"/>
      <c r="NSP23" s="65"/>
      <c r="NSQ23" s="65"/>
      <c r="NSR23" s="65"/>
      <c r="NSS23" s="65"/>
      <c r="NST23" s="65"/>
      <c r="NSU23" s="65"/>
      <c r="NSV23" s="65"/>
      <c r="NSW23" s="65"/>
      <c r="NSX23" s="65"/>
      <c r="NSY23" s="65"/>
      <c r="NSZ23" s="65"/>
      <c r="NTA23" s="65"/>
      <c r="NTB23" s="65"/>
      <c r="NTC23" s="65"/>
      <c r="NTD23" s="65"/>
      <c r="NTE23" s="65"/>
      <c r="NTF23" s="65"/>
      <c r="NTG23" s="65"/>
      <c r="NTH23" s="65"/>
      <c r="NTI23" s="65"/>
      <c r="NTJ23" s="65"/>
      <c r="NTK23" s="65"/>
      <c r="NTL23" s="65"/>
      <c r="NTM23" s="65"/>
      <c r="NTN23" s="65"/>
      <c r="NTO23" s="65"/>
      <c r="NTP23" s="65"/>
      <c r="NTQ23" s="65"/>
      <c r="NTR23" s="65"/>
      <c r="NTS23" s="65"/>
      <c r="NTT23" s="65"/>
      <c r="NTU23" s="65"/>
      <c r="NTV23" s="65"/>
      <c r="NTW23" s="65"/>
      <c r="NTX23" s="65"/>
      <c r="NTY23" s="65"/>
      <c r="NTZ23" s="65"/>
      <c r="NUA23" s="65"/>
      <c r="NUB23" s="65"/>
      <c r="NUC23" s="65"/>
      <c r="NUD23" s="65"/>
      <c r="NUE23" s="65"/>
      <c r="NUF23" s="65"/>
      <c r="NUG23" s="65"/>
      <c r="NUH23" s="65"/>
      <c r="NUI23" s="65"/>
      <c r="NUJ23" s="65"/>
      <c r="NUK23" s="65"/>
      <c r="NUL23" s="65"/>
      <c r="NUM23" s="65"/>
      <c r="NUN23" s="65"/>
      <c r="NUO23" s="65"/>
      <c r="NUP23" s="65"/>
      <c r="NUQ23" s="65"/>
      <c r="NUR23" s="65"/>
      <c r="NUS23" s="65"/>
      <c r="NUT23" s="65"/>
      <c r="NUU23" s="65"/>
      <c r="NUV23" s="65"/>
      <c r="NUW23" s="65"/>
      <c r="NUX23" s="65"/>
      <c r="NUY23" s="65"/>
      <c r="NUZ23" s="65"/>
      <c r="NVA23" s="65"/>
      <c r="NVB23" s="65"/>
      <c r="NVC23" s="65"/>
      <c r="NVD23" s="65"/>
      <c r="NVE23" s="65"/>
      <c r="NVF23" s="65"/>
      <c r="NVG23" s="65"/>
      <c r="NVH23" s="65"/>
      <c r="NVI23" s="65"/>
      <c r="NVJ23" s="65"/>
      <c r="NVK23" s="65"/>
      <c r="NVL23" s="65"/>
      <c r="NVM23" s="65"/>
      <c r="NVN23" s="65"/>
      <c r="NVO23" s="65"/>
      <c r="NVP23" s="65"/>
      <c r="NVQ23" s="65"/>
      <c r="NVR23" s="65"/>
      <c r="NVS23" s="65"/>
      <c r="NVT23" s="65"/>
      <c r="NVU23" s="65"/>
      <c r="NVV23" s="65"/>
      <c r="NVW23" s="65"/>
      <c r="NVX23" s="65"/>
      <c r="NVY23" s="65"/>
      <c r="NVZ23" s="65"/>
      <c r="NWA23" s="65"/>
      <c r="NWB23" s="65"/>
      <c r="NWC23" s="65"/>
      <c r="NWD23" s="65"/>
      <c r="NWE23" s="65"/>
      <c r="NWF23" s="65"/>
      <c r="NWG23" s="65"/>
      <c r="NWH23" s="65"/>
      <c r="NWI23" s="65"/>
      <c r="NWJ23" s="65"/>
      <c r="NWK23" s="65"/>
      <c r="NWL23" s="65"/>
      <c r="NWM23" s="65"/>
      <c r="NWN23" s="65"/>
      <c r="NWO23" s="65"/>
      <c r="NWP23" s="65"/>
      <c r="NWQ23" s="65"/>
      <c r="NWR23" s="65"/>
      <c r="NWS23" s="65"/>
      <c r="NWT23" s="65"/>
      <c r="NWU23" s="65"/>
      <c r="NWV23" s="65"/>
      <c r="NWW23" s="65"/>
      <c r="NWX23" s="65"/>
      <c r="NWY23" s="65"/>
      <c r="NWZ23" s="65"/>
      <c r="NXA23" s="65"/>
      <c r="NXB23" s="65"/>
      <c r="NXC23" s="65"/>
      <c r="NXD23" s="65"/>
      <c r="NXE23" s="65"/>
      <c r="NXF23" s="65"/>
      <c r="NXG23" s="65"/>
      <c r="NXH23" s="65"/>
      <c r="NXI23" s="65"/>
      <c r="NXJ23" s="65"/>
      <c r="NXK23" s="65"/>
      <c r="NXL23" s="65"/>
      <c r="NXM23" s="65"/>
      <c r="NXN23" s="65"/>
      <c r="NXO23" s="65"/>
      <c r="NXP23" s="65"/>
      <c r="NXQ23" s="65"/>
      <c r="NXR23" s="65"/>
      <c r="NXS23" s="65"/>
      <c r="NXT23" s="65"/>
      <c r="NXU23" s="65"/>
      <c r="NXV23" s="65"/>
      <c r="NXW23" s="65"/>
      <c r="NXX23" s="65"/>
      <c r="NXY23" s="65"/>
      <c r="NXZ23" s="65"/>
      <c r="NYA23" s="65"/>
      <c r="NYB23" s="65"/>
      <c r="NYC23" s="65"/>
      <c r="NYD23" s="65"/>
      <c r="NYE23" s="65"/>
      <c r="NYF23" s="65"/>
      <c r="NYG23" s="65"/>
      <c r="NYH23" s="65"/>
      <c r="NYI23" s="65"/>
      <c r="NYJ23" s="65"/>
      <c r="NYK23" s="65"/>
      <c r="NYL23" s="65"/>
      <c r="NYM23" s="65"/>
      <c r="NYN23" s="65"/>
      <c r="NYO23" s="65"/>
      <c r="NYP23" s="65"/>
      <c r="NYQ23" s="65"/>
      <c r="NYR23" s="65"/>
      <c r="NYS23" s="65"/>
      <c r="NYT23" s="65"/>
      <c r="NYU23" s="65"/>
      <c r="NYV23" s="65"/>
      <c r="NYW23" s="65"/>
      <c r="NYX23" s="65"/>
      <c r="NYY23" s="65"/>
      <c r="NYZ23" s="65"/>
      <c r="NZA23" s="65"/>
      <c r="NZB23" s="65"/>
      <c r="NZC23" s="65"/>
      <c r="NZD23" s="65"/>
      <c r="NZE23" s="65"/>
      <c r="NZF23" s="65"/>
      <c r="NZG23" s="65"/>
      <c r="NZH23" s="65"/>
      <c r="NZI23" s="65"/>
      <c r="NZJ23" s="65"/>
      <c r="NZK23" s="65"/>
      <c r="NZL23" s="65"/>
      <c r="NZM23" s="65"/>
      <c r="NZN23" s="65"/>
      <c r="NZO23" s="65"/>
      <c r="NZP23" s="65"/>
      <c r="NZQ23" s="65"/>
      <c r="NZR23" s="65"/>
      <c r="NZS23" s="65"/>
      <c r="NZT23" s="65"/>
      <c r="NZU23" s="65"/>
      <c r="NZV23" s="65"/>
      <c r="NZW23" s="65"/>
      <c r="NZX23" s="65"/>
      <c r="NZY23" s="65"/>
      <c r="NZZ23" s="65"/>
      <c r="OAA23" s="65"/>
      <c r="OAB23" s="65"/>
      <c r="OAC23" s="65"/>
      <c r="OAD23" s="65"/>
      <c r="OAE23" s="65"/>
      <c r="OAF23" s="65"/>
      <c r="OAG23" s="65"/>
      <c r="OAH23" s="65"/>
      <c r="OAI23" s="65"/>
      <c r="OAJ23" s="65"/>
      <c r="OAK23" s="65"/>
      <c r="OAL23" s="65"/>
      <c r="OAM23" s="65"/>
      <c r="OAN23" s="65"/>
      <c r="OAO23" s="65"/>
      <c r="OAP23" s="65"/>
      <c r="OAQ23" s="65"/>
      <c r="OAR23" s="65"/>
      <c r="OAS23" s="65"/>
      <c r="OAT23" s="65"/>
      <c r="OAU23" s="65"/>
      <c r="OAV23" s="65"/>
      <c r="OAW23" s="65"/>
      <c r="OAX23" s="65"/>
      <c r="OAY23" s="65"/>
      <c r="OAZ23" s="65"/>
      <c r="OBA23" s="65"/>
      <c r="OBB23" s="65"/>
      <c r="OBC23" s="65"/>
      <c r="OBD23" s="65"/>
      <c r="OBE23" s="65"/>
      <c r="OBF23" s="65"/>
      <c r="OBG23" s="65"/>
      <c r="OBH23" s="65"/>
      <c r="OBI23" s="65"/>
      <c r="OBJ23" s="65"/>
      <c r="OBK23" s="65"/>
      <c r="OBL23" s="65"/>
      <c r="OBM23" s="65"/>
      <c r="OBN23" s="65"/>
      <c r="OBO23" s="65"/>
      <c r="OBP23" s="65"/>
      <c r="OBQ23" s="65"/>
      <c r="OBR23" s="65"/>
      <c r="OBS23" s="65"/>
      <c r="OBT23" s="65"/>
      <c r="OBU23" s="65"/>
      <c r="OBV23" s="65"/>
      <c r="OBW23" s="65"/>
      <c r="OBX23" s="65"/>
      <c r="OBY23" s="65"/>
      <c r="OBZ23" s="65"/>
      <c r="OCA23" s="65"/>
      <c r="OCB23" s="65"/>
      <c r="OCC23" s="65"/>
      <c r="OCD23" s="65"/>
      <c r="OCE23" s="65"/>
      <c r="OCF23" s="65"/>
      <c r="OCG23" s="65"/>
      <c r="OCH23" s="65"/>
      <c r="OCI23" s="65"/>
      <c r="OCJ23" s="65"/>
      <c r="OCK23" s="65"/>
      <c r="OCL23" s="65"/>
      <c r="OCM23" s="65"/>
      <c r="OCN23" s="65"/>
      <c r="OCO23" s="65"/>
      <c r="OCP23" s="65"/>
      <c r="OCQ23" s="65"/>
      <c r="OCR23" s="65"/>
      <c r="OCS23" s="65"/>
      <c r="OCT23" s="65"/>
      <c r="OCU23" s="65"/>
      <c r="OCV23" s="65"/>
      <c r="OCW23" s="65"/>
      <c r="OCX23" s="65"/>
      <c r="OCY23" s="65"/>
      <c r="OCZ23" s="65"/>
      <c r="ODA23" s="65"/>
      <c r="ODB23" s="65"/>
      <c r="ODC23" s="65"/>
      <c r="ODD23" s="65"/>
      <c r="ODE23" s="65"/>
      <c r="ODF23" s="65"/>
      <c r="ODG23" s="65"/>
      <c r="ODH23" s="65"/>
      <c r="ODI23" s="65"/>
      <c r="ODJ23" s="65"/>
      <c r="ODK23" s="65"/>
      <c r="ODL23" s="65"/>
      <c r="ODM23" s="65"/>
      <c r="ODN23" s="65"/>
      <c r="ODO23" s="65"/>
      <c r="ODP23" s="65"/>
      <c r="ODQ23" s="65"/>
      <c r="ODR23" s="65"/>
      <c r="ODS23" s="65"/>
      <c r="ODT23" s="65"/>
      <c r="ODU23" s="65"/>
      <c r="ODV23" s="65"/>
      <c r="ODW23" s="65"/>
      <c r="ODX23" s="65"/>
      <c r="ODY23" s="65"/>
      <c r="ODZ23" s="65"/>
      <c r="OEA23" s="65"/>
      <c r="OEB23" s="65"/>
      <c r="OEC23" s="65"/>
      <c r="OED23" s="65"/>
      <c r="OEE23" s="65"/>
      <c r="OEF23" s="65"/>
      <c r="OEG23" s="65"/>
      <c r="OEH23" s="65"/>
      <c r="OEI23" s="65"/>
      <c r="OEJ23" s="65"/>
      <c r="OEK23" s="65"/>
      <c r="OEL23" s="65"/>
      <c r="OEM23" s="65"/>
      <c r="OEN23" s="65"/>
      <c r="OEO23" s="65"/>
      <c r="OEP23" s="65"/>
      <c r="OEQ23" s="65"/>
      <c r="OER23" s="65"/>
      <c r="OES23" s="65"/>
      <c r="OET23" s="65"/>
      <c r="OEU23" s="65"/>
      <c r="OEV23" s="65"/>
      <c r="OEW23" s="65"/>
      <c r="OEX23" s="65"/>
      <c r="OEY23" s="65"/>
      <c r="OEZ23" s="65"/>
      <c r="OFA23" s="65"/>
      <c r="OFB23" s="65"/>
      <c r="OFC23" s="65"/>
      <c r="OFD23" s="65"/>
      <c r="OFE23" s="65"/>
      <c r="OFF23" s="65"/>
      <c r="OFG23" s="65"/>
      <c r="OFH23" s="65"/>
      <c r="OFI23" s="65"/>
      <c r="OFJ23" s="65"/>
      <c r="OFK23" s="65"/>
      <c r="OFL23" s="65"/>
      <c r="OFM23" s="65"/>
      <c r="OFN23" s="65"/>
      <c r="OFO23" s="65"/>
      <c r="OFP23" s="65"/>
      <c r="OFQ23" s="65"/>
      <c r="OFR23" s="65"/>
      <c r="OFS23" s="65"/>
      <c r="OFT23" s="65"/>
      <c r="OFU23" s="65"/>
      <c r="OFV23" s="65"/>
      <c r="OFW23" s="65"/>
      <c r="OFX23" s="65"/>
      <c r="OFY23" s="65"/>
      <c r="OFZ23" s="65"/>
      <c r="OGA23" s="65"/>
      <c r="OGB23" s="65"/>
      <c r="OGC23" s="65"/>
      <c r="OGD23" s="65"/>
      <c r="OGE23" s="65"/>
      <c r="OGF23" s="65"/>
      <c r="OGG23" s="65"/>
      <c r="OGH23" s="65"/>
      <c r="OGI23" s="65"/>
      <c r="OGJ23" s="65"/>
      <c r="OGK23" s="65"/>
      <c r="OGL23" s="65"/>
      <c r="OGM23" s="65"/>
      <c r="OGN23" s="65"/>
      <c r="OGO23" s="65"/>
      <c r="OGP23" s="65"/>
      <c r="OGQ23" s="65"/>
      <c r="OGR23" s="65"/>
      <c r="OGS23" s="65"/>
      <c r="OGT23" s="65"/>
      <c r="OGU23" s="65"/>
      <c r="OGV23" s="65"/>
      <c r="OGW23" s="65"/>
      <c r="OGX23" s="65"/>
      <c r="OGY23" s="65"/>
      <c r="OGZ23" s="65"/>
      <c r="OHA23" s="65"/>
      <c r="OHB23" s="65"/>
      <c r="OHC23" s="65"/>
      <c r="OHD23" s="65"/>
      <c r="OHE23" s="65"/>
      <c r="OHF23" s="65"/>
      <c r="OHG23" s="65"/>
      <c r="OHH23" s="65"/>
      <c r="OHI23" s="65"/>
      <c r="OHJ23" s="65"/>
      <c r="OHK23" s="65"/>
      <c r="OHL23" s="65"/>
      <c r="OHM23" s="65"/>
      <c r="OHN23" s="65"/>
      <c r="OHO23" s="65"/>
      <c r="OHP23" s="65"/>
      <c r="OHQ23" s="65"/>
      <c r="OHR23" s="65"/>
      <c r="OHS23" s="65"/>
      <c r="OHT23" s="65"/>
      <c r="OHU23" s="65"/>
      <c r="OHV23" s="65"/>
      <c r="OHW23" s="65"/>
      <c r="OHX23" s="65"/>
      <c r="OHY23" s="65"/>
      <c r="OHZ23" s="65"/>
      <c r="OIA23" s="65"/>
      <c r="OIB23" s="65"/>
      <c r="OIC23" s="65"/>
      <c r="OID23" s="65"/>
      <c r="OIE23" s="65"/>
      <c r="OIF23" s="65"/>
      <c r="OIG23" s="65"/>
      <c r="OIH23" s="65"/>
      <c r="OII23" s="65"/>
      <c r="OIJ23" s="65"/>
      <c r="OIK23" s="65"/>
      <c r="OIL23" s="65"/>
      <c r="OIM23" s="65"/>
      <c r="OIN23" s="65"/>
      <c r="OIO23" s="65"/>
      <c r="OIP23" s="65"/>
      <c r="OIQ23" s="65"/>
      <c r="OIR23" s="65"/>
      <c r="OIS23" s="65"/>
      <c r="OIT23" s="65"/>
      <c r="OIU23" s="65"/>
      <c r="OIV23" s="65"/>
      <c r="OIW23" s="65"/>
      <c r="OIX23" s="65"/>
      <c r="OIY23" s="65"/>
      <c r="OIZ23" s="65"/>
      <c r="OJA23" s="65"/>
      <c r="OJB23" s="65"/>
      <c r="OJC23" s="65"/>
      <c r="OJD23" s="65"/>
      <c r="OJE23" s="65"/>
      <c r="OJF23" s="65"/>
      <c r="OJG23" s="65"/>
      <c r="OJH23" s="65"/>
      <c r="OJI23" s="65"/>
      <c r="OJJ23" s="65"/>
      <c r="OJK23" s="65"/>
      <c r="OJL23" s="65"/>
      <c r="OJM23" s="65"/>
      <c r="OJN23" s="65"/>
      <c r="OJO23" s="65"/>
      <c r="OJP23" s="65"/>
      <c r="OJQ23" s="65"/>
      <c r="OJR23" s="65"/>
      <c r="OJS23" s="65"/>
      <c r="OJT23" s="65"/>
      <c r="OJU23" s="65"/>
      <c r="OJV23" s="65"/>
      <c r="OJW23" s="65"/>
      <c r="OJX23" s="65"/>
      <c r="OJY23" s="65"/>
      <c r="OJZ23" s="65"/>
      <c r="OKA23" s="65"/>
      <c r="OKB23" s="65"/>
      <c r="OKC23" s="65"/>
      <c r="OKD23" s="65"/>
      <c r="OKE23" s="65"/>
      <c r="OKF23" s="65"/>
      <c r="OKG23" s="65"/>
      <c r="OKH23" s="65"/>
      <c r="OKI23" s="65"/>
      <c r="OKJ23" s="65"/>
      <c r="OKK23" s="65"/>
      <c r="OKL23" s="65"/>
      <c r="OKM23" s="65"/>
      <c r="OKN23" s="65"/>
      <c r="OKO23" s="65"/>
      <c r="OKP23" s="65"/>
      <c r="OKQ23" s="65"/>
      <c r="OKR23" s="65"/>
      <c r="OKS23" s="65"/>
      <c r="OKT23" s="65"/>
      <c r="OKU23" s="65"/>
      <c r="OKV23" s="65"/>
      <c r="OKW23" s="65"/>
      <c r="OKX23" s="65"/>
      <c r="OKY23" s="65"/>
      <c r="OKZ23" s="65"/>
      <c r="OLA23" s="65"/>
      <c r="OLB23" s="65"/>
      <c r="OLC23" s="65"/>
      <c r="OLD23" s="65"/>
      <c r="OLE23" s="65"/>
      <c r="OLF23" s="65"/>
      <c r="OLG23" s="65"/>
      <c r="OLH23" s="65"/>
      <c r="OLI23" s="65"/>
      <c r="OLJ23" s="65"/>
      <c r="OLK23" s="65"/>
      <c r="OLL23" s="65"/>
      <c r="OLM23" s="65"/>
      <c r="OLN23" s="65"/>
      <c r="OLO23" s="65"/>
      <c r="OLP23" s="65"/>
      <c r="OLQ23" s="65"/>
      <c r="OLR23" s="65"/>
      <c r="OLS23" s="65"/>
      <c r="OLT23" s="65"/>
      <c r="OLU23" s="65"/>
      <c r="OLV23" s="65"/>
      <c r="OLW23" s="65"/>
      <c r="OLX23" s="65"/>
      <c r="OLY23" s="65"/>
      <c r="OLZ23" s="65"/>
      <c r="OMA23" s="65"/>
      <c r="OMB23" s="65"/>
      <c r="OMC23" s="65"/>
      <c r="OMD23" s="65"/>
      <c r="OME23" s="65"/>
      <c r="OMF23" s="65"/>
      <c r="OMG23" s="65"/>
      <c r="OMH23" s="65"/>
      <c r="OMI23" s="65"/>
      <c r="OMJ23" s="65"/>
      <c r="OMK23" s="65"/>
      <c r="OML23" s="65"/>
      <c r="OMM23" s="65"/>
      <c r="OMN23" s="65"/>
      <c r="OMO23" s="65"/>
      <c r="OMP23" s="65"/>
      <c r="OMQ23" s="65"/>
      <c r="OMR23" s="65"/>
      <c r="OMS23" s="65"/>
      <c r="OMT23" s="65"/>
      <c r="OMU23" s="65"/>
      <c r="OMV23" s="65"/>
      <c r="OMW23" s="65"/>
      <c r="OMX23" s="65"/>
      <c r="OMY23" s="65"/>
      <c r="OMZ23" s="65"/>
      <c r="ONA23" s="65"/>
      <c r="ONB23" s="65"/>
      <c r="ONC23" s="65"/>
      <c r="OND23" s="65"/>
      <c r="ONE23" s="65"/>
      <c r="ONF23" s="65"/>
      <c r="ONG23" s="65"/>
      <c r="ONH23" s="65"/>
      <c r="ONI23" s="65"/>
      <c r="ONJ23" s="65"/>
      <c r="ONK23" s="65"/>
      <c r="ONL23" s="65"/>
      <c r="ONM23" s="65"/>
      <c r="ONN23" s="65"/>
      <c r="ONO23" s="65"/>
      <c r="ONP23" s="65"/>
      <c r="ONQ23" s="65"/>
      <c r="ONR23" s="65"/>
      <c r="ONS23" s="65"/>
      <c r="ONT23" s="65"/>
      <c r="ONU23" s="65"/>
      <c r="ONV23" s="65"/>
      <c r="ONW23" s="65"/>
      <c r="ONX23" s="65"/>
      <c r="ONY23" s="65"/>
      <c r="ONZ23" s="65"/>
      <c r="OOA23" s="65"/>
      <c r="OOB23" s="65"/>
      <c r="OOC23" s="65"/>
      <c r="OOD23" s="65"/>
      <c r="OOE23" s="65"/>
      <c r="OOF23" s="65"/>
      <c r="OOG23" s="65"/>
      <c r="OOH23" s="65"/>
      <c r="OOI23" s="65"/>
      <c r="OOJ23" s="65"/>
      <c r="OOK23" s="65"/>
      <c r="OOL23" s="65"/>
      <c r="OOM23" s="65"/>
      <c r="OON23" s="65"/>
      <c r="OOO23" s="65"/>
      <c r="OOP23" s="65"/>
      <c r="OOQ23" s="65"/>
      <c r="OOR23" s="65"/>
      <c r="OOS23" s="65"/>
      <c r="OOT23" s="65"/>
      <c r="OOU23" s="65"/>
      <c r="OOV23" s="65"/>
      <c r="OOW23" s="65"/>
      <c r="OOX23" s="65"/>
      <c r="OOY23" s="65"/>
      <c r="OOZ23" s="65"/>
      <c r="OPA23" s="65"/>
      <c r="OPB23" s="65"/>
      <c r="OPC23" s="65"/>
      <c r="OPD23" s="65"/>
      <c r="OPE23" s="65"/>
      <c r="OPF23" s="65"/>
      <c r="OPG23" s="65"/>
      <c r="OPH23" s="65"/>
      <c r="OPI23" s="65"/>
      <c r="OPJ23" s="65"/>
      <c r="OPK23" s="65"/>
      <c r="OPL23" s="65"/>
      <c r="OPM23" s="65"/>
      <c r="OPN23" s="65"/>
      <c r="OPO23" s="65"/>
      <c r="OPP23" s="65"/>
      <c r="OPQ23" s="65"/>
      <c r="OPR23" s="65"/>
      <c r="OPS23" s="65"/>
      <c r="OPT23" s="65"/>
      <c r="OPU23" s="65"/>
      <c r="OPV23" s="65"/>
      <c r="OPW23" s="65"/>
      <c r="OPX23" s="65"/>
      <c r="OPY23" s="65"/>
      <c r="OPZ23" s="65"/>
      <c r="OQA23" s="65"/>
      <c r="OQB23" s="65"/>
      <c r="OQC23" s="65"/>
      <c r="OQD23" s="65"/>
      <c r="OQE23" s="65"/>
      <c r="OQF23" s="65"/>
      <c r="OQG23" s="65"/>
      <c r="OQH23" s="65"/>
      <c r="OQI23" s="65"/>
      <c r="OQJ23" s="65"/>
      <c r="OQK23" s="65"/>
      <c r="OQL23" s="65"/>
      <c r="OQM23" s="65"/>
      <c r="OQN23" s="65"/>
      <c r="OQO23" s="65"/>
      <c r="OQP23" s="65"/>
      <c r="OQQ23" s="65"/>
      <c r="OQR23" s="65"/>
      <c r="OQS23" s="65"/>
      <c r="OQT23" s="65"/>
      <c r="OQU23" s="65"/>
      <c r="OQV23" s="65"/>
      <c r="OQW23" s="65"/>
      <c r="OQX23" s="65"/>
      <c r="OQY23" s="65"/>
      <c r="OQZ23" s="65"/>
      <c r="ORA23" s="65"/>
      <c r="ORB23" s="65"/>
      <c r="ORC23" s="65"/>
      <c r="ORD23" s="65"/>
      <c r="ORE23" s="65"/>
      <c r="ORF23" s="65"/>
      <c r="ORG23" s="65"/>
      <c r="ORH23" s="65"/>
      <c r="ORI23" s="65"/>
      <c r="ORJ23" s="65"/>
      <c r="ORK23" s="65"/>
      <c r="ORL23" s="65"/>
      <c r="ORM23" s="65"/>
      <c r="ORN23" s="65"/>
      <c r="ORO23" s="65"/>
      <c r="ORP23" s="65"/>
      <c r="ORQ23" s="65"/>
      <c r="ORR23" s="65"/>
      <c r="ORS23" s="65"/>
      <c r="ORT23" s="65"/>
      <c r="ORU23" s="65"/>
      <c r="ORV23" s="65"/>
      <c r="ORW23" s="65"/>
      <c r="ORX23" s="65"/>
      <c r="ORY23" s="65"/>
      <c r="ORZ23" s="65"/>
      <c r="OSA23" s="65"/>
      <c r="OSB23" s="65"/>
      <c r="OSC23" s="65"/>
      <c r="OSD23" s="65"/>
      <c r="OSE23" s="65"/>
      <c r="OSF23" s="65"/>
      <c r="OSG23" s="65"/>
      <c r="OSH23" s="65"/>
      <c r="OSI23" s="65"/>
      <c r="OSJ23" s="65"/>
      <c r="OSK23" s="65"/>
      <c r="OSL23" s="65"/>
      <c r="OSM23" s="65"/>
      <c r="OSN23" s="65"/>
      <c r="OSO23" s="65"/>
      <c r="OSP23" s="65"/>
      <c r="OSQ23" s="65"/>
      <c r="OSR23" s="65"/>
      <c r="OSS23" s="65"/>
      <c r="OST23" s="65"/>
      <c r="OSU23" s="65"/>
      <c r="OSV23" s="65"/>
      <c r="OSW23" s="65"/>
      <c r="OSX23" s="65"/>
      <c r="OSY23" s="65"/>
      <c r="OSZ23" s="65"/>
      <c r="OTA23" s="65"/>
      <c r="OTB23" s="65"/>
      <c r="OTC23" s="65"/>
      <c r="OTD23" s="65"/>
      <c r="OTE23" s="65"/>
      <c r="OTF23" s="65"/>
      <c r="OTG23" s="65"/>
      <c r="OTH23" s="65"/>
      <c r="OTI23" s="65"/>
      <c r="OTJ23" s="65"/>
      <c r="OTK23" s="65"/>
      <c r="OTL23" s="65"/>
      <c r="OTM23" s="65"/>
      <c r="OTN23" s="65"/>
      <c r="OTO23" s="65"/>
      <c r="OTP23" s="65"/>
      <c r="OTQ23" s="65"/>
      <c r="OTR23" s="65"/>
      <c r="OTS23" s="65"/>
      <c r="OTT23" s="65"/>
      <c r="OTU23" s="65"/>
      <c r="OTV23" s="65"/>
      <c r="OTW23" s="65"/>
      <c r="OTX23" s="65"/>
      <c r="OTY23" s="65"/>
      <c r="OTZ23" s="65"/>
      <c r="OUA23" s="65"/>
      <c r="OUB23" s="65"/>
      <c r="OUC23" s="65"/>
      <c r="OUD23" s="65"/>
      <c r="OUE23" s="65"/>
      <c r="OUF23" s="65"/>
      <c r="OUG23" s="65"/>
      <c r="OUH23" s="65"/>
      <c r="OUI23" s="65"/>
      <c r="OUJ23" s="65"/>
      <c r="OUK23" s="65"/>
      <c r="OUL23" s="65"/>
      <c r="OUM23" s="65"/>
      <c r="OUN23" s="65"/>
      <c r="OUO23" s="65"/>
      <c r="OUP23" s="65"/>
      <c r="OUQ23" s="65"/>
      <c r="OUR23" s="65"/>
      <c r="OUS23" s="65"/>
      <c r="OUT23" s="65"/>
      <c r="OUU23" s="65"/>
      <c r="OUV23" s="65"/>
      <c r="OUW23" s="65"/>
      <c r="OUX23" s="65"/>
      <c r="OUY23" s="65"/>
      <c r="OUZ23" s="65"/>
      <c r="OVA23" s="65"/>
      <c r="OVB23" s="65"/>
      <c r="OVC23" s="65"/>
      <c r="OVD23" s="65"/>
      <c r="OVE23" s="65"/>
      <c r="OVF23" s="65"/>
      <c r="OVG23" s="65"/>
      <c r="OVH23" s="65"/>
      <c r="OVI23" s="65"/>
      <c r="OVJ23" s="65"/>
      <c r="OVK23" s="65"/>
      <c r="OVL23" s="65"/>
      <c r="OVM23" s="65"/>
      <c r="OVN23" s="65"/>
      <c r="OVO23" s="65"/>
      <c r="OVP23" s="65"/>
      <c r="OVQ23" s="65"/>
      <c r="OVR23" s="65"/>
      <c r="OVS23" s="65"/>
      <c r="OVT23" s="65"/>
      <c r="OVU23" s="65"/>
      <c r="OVV23" s="65"/>
      <c r="OVW23" s="65"/>
      <c r="OVX23" s="65"/>
      <c r="OVY23" s="65"/>
      <c r="OVZ23" s="65"/>
      <c r="OWA23" s="65"/>
      <c r="OWB23" s="65"/>
      <c r="OWC23" s="65"/>
      <c r="OWD23" s="65"/>
      <c r="OWE23" s="65"/>
      <c r="OWF23" s="65"/>
      <c r="OWG23" s="65"/>
      <c r="OWH23" s="65"/>
      <c r="OWI23" s="65"/>
      <c r="OWJ23" s="65"/>
      <c r="OWK23" s="65"/>
      <c r="OWL23" s="65"/>
      <c r="OWM23" s="65"/>
      <c r="OWN23" s="65"/>
      <c r="OWO23" s="65"/>
      <c r="OWP23" s="65"/>
      <c r="OWQ23" s="65"/>
      <c r="OWR23" s="65"/>
      <c r="OWS23" s="65"/>
      <c r="OWT23" s="65"/>
      <c r="OWU23" s="65"/>
      <c r="OWV23" s="65"/>
      <c r="OWW23" s="65"/>
      <c r="OWX23" s="65"/>
      <c r="OWY23" s="65"/>
      <c r="OWZ23" s="65"/>
      <c r="OXA23" s="65"/>
      <c r="OXB23" s="65"/>
      <c r="OXC23" s="65"/>
      <c r="OXD23" s="65"/>
      <c r="OXE23" s="65"/>
      <c r="OXF23" s="65"/>
      <c r="OXG23" s="65"/>
      <c r="OXH23" s="65"/>
      <c r="OXI23" s="65"/>
      <c r="OXJ23" s="65"/>
      <c r="OXK23" s="65"/>
      <c r="OXL23" s="65"/>
      <c r="OXM23" s="65"/>
      <c r="OXN23" s="65"/>
      <c r="OXO23" s="65"/>
      <c r="OXP23" s="65"/>
      <c r="OXQ23" s="65"/>
      <c r="OXR23" s="65"/>
      <c r="OXS23" s="65"/>
      <c r="OXT23" s="65"/>
      <c r="OXU23" s="65"/>
      <c r="OXV23" s="65"/>
      <c r="OXW23" s="65"/>
      <c r="OXX23" s="65"/>
      <c r="OXY23" s="65"/>
      <c r="OXZ23" s="65"/>
      <c r="OYA23" s="65"/>
      <c r="OYB23" s="65"/>
      <c r="OYC23" s="65"/>
      <c r="OYD23" s="65"/>
      <c r="OYE23" s="65"/>
      <c r="OYF23" s="65"/>
      <c r="OYG23" s="65"/>
      <c r="OYH23" s="65"/>
      <c r="OYI23" s="65"/>
      <c r="OYJ23" s="65"/>
      <c r="OYK23" s="65"/>
      <c r="OYL23" s="65"/>
      <c r="OYM23" s="65"/>
      <c r="OYN23" s="65"/>
      <c r="OYO23" s="65"/>
      <c r="OYP23" s="65"/>
      <c r="OYQ23" s="65"/>
      <c r="OYR23" s="65"/>
      <c r="OYS23" s="65"/>
      <c r="OYT23" s="65"/>
      <c r="OYU23" s="65"/>
      <c r="OYV23" s="65"/>
      <c r="OYW23" s="65"/>
      <c r="OYX23" s="65"/>
      <c r="OYY23" s="65"/>
      <c r="OYZ23" s="65"/>
      <c r="OZA23" s="65"/>
      <c r="OZB23" s="65"/>
      <c r="OZC23" s="65"/>
      <c r="OZD23" s="65"/>
      <c r="OZE23" s="65"/>
      <c r="OZF23" s="65"/>
      <c r="OZG23" s="65"/>
      <c r="OZH23" s="65"/>
      <c r="OZI23" s="65"/>
      <c r="OZJ23" s="65"/>
      <c r="OZK23" s="65"/>
      <c r="OZL23" s="65"/>
      <c r="OZM23" s="65"/>
      <c r="OZN23" s="65"/>
      <c r="OZO23" s="65"/>
      <c r="OZP23" s="65"/>
      <c r="OZQ23" s="65"/>
      <c r="OZR23" s="65"/>
      <c r="OZS23" s="65"/>
      <c r="OZT23" s="65"/>
      <c r="OZU23" s="65"/>
      <c r="OZV23" s="65"/>
      <c r="OZW23" s="65"/>
      <c r="OZX23" s="65"/>
      <c r="OZY23" s="65"/>
      <c r="OZZ23" s="65"/>
      <c r="PAA23" s="65"/>
      <c r="PAB23" s="65"/>
      <c r="PAC23" s="65"/>
      <c r="PAD23" s="65"/>
      <c r="PAE23" s="65"/>
      <c r="PAF23" s="65"/>
      <c r="PAG23" s="65"/>
      <c r="PAH23" s="65"/>
      <c r="PAI23" s="65"/>
      <c r="PAJ23" s="65"/>
      <c r="PAK23" s="65"/>
      <c r="PAL23" s="65"/>
      <c r="PAM23" s="65"/>
      <c r="PAN23" s="65"/>
      <c r="PAO23" s="65"/>
      <c r="PAP23" s="65"/>
      <c r="PAQ23" s="65"/>
      <c r="PAR23" s="65"/>
      <c r="PAS23" s="65"/>
      <c r="PAT23" s="65"/>
      <c r="PAU23" s="65"/>
      <c r="PAV23" s="65"/>
      <c r="PAW23" s="65"/>
      <c r="PAX23" s="65"/>
      <c r="PAY23" s="65"/>
      <c r="PAZ23" s="65"/>
      <c r="PBA23" s="65"/>
      <c r="PBB23" s="65"/>
      <c r="PBC23" s="65"/>
      <c r="PBD23" s="65"/>
      <c r="PBE23" s="65"/>
      <c r="PBF23" s="65"/>
      <c r="PBG23" s="65"/>
      <c r="PBH23" s="65"/>
      <c r="PBI23" s="65"/>
      <c r="PBJ23" s="65"/>
      <c r="PBK23" s="65"/>
      <c r="PBL23" s="65"/>
      <c r="PBM23" s="65"/>
      <c r="PBN23" s="65"/>
      <c r="PBO23" s="65"/>
      <c r="PBP23" s="65"/>
      <c r="PBQ23" s="65"/>
      <c r="PBR23" s="65"/>
      <c r="PBS23" s="65"/>
      <c r="PBT23" s="65"/>
      <c r="PBU23" s="65"/>
      <c r="PBV23" s="65"/>
      <c r="PBW23" s="65"/>
      <c r="PBX23" s="65"/>
      <c r="PBY23" s="65"/>
      <c r="PBZ23" s="65"/>
      <c r="PCA23" s="65"/>
      <c r="PCB23" s="65"/>
      <c r="PCC23" s="65"/>
      <c r="PCD23" s="65"/>
      <c r="PCE23" s="65"/>
      <c r="PCF23" s="65"/>
      <c r="PCG23" s="65"/>
      <c r="PCH23" s="65"/>
      <c r="PCI23" s="65"/>
      <c r="PCJ23" s="65"/>
      <c r="PCK23" s="65"/>
      <c r="PCL23" s="65"/>
      <c r="PCM23" s="65"/>
      <c r="PCN23" s="65"/>
      <c r="PCO23" s="65"/>
      <c r="PCP23" s="65"/>
      <c r="PCQ23" s="65"/>
      <c r="PCR23" s="65"/>
      <c r="PCS23" s="65"/>
      <c r="PCT23" s="65"/>
      <c r="PCU23" s="65"/>
      <c r="PCV23" s="65"/>
      <c r="PCW23" s="65"/>
      <c r="PCX23" s="65"/>
      <c r="PCY23" s="65"/>
      <c r="PCZ23" s="65"/>
      <c r="PDA23" s="65"/>
      <c r="PDB23" s="65"/>
      <c r="PDC23" s="65"/>
      <c r="PDD23" s="65"/>
      <c r="PDE23" s="65"/>
      <c r="PDF23" s="65"/>
      <c r="PDG23" s="65"/>
      <c r="PDH23" s="65"/>
      <c r="PDI23" s="65"/>
      <c r="PDJ23" s="65"/>
      <c r="PDK23" s="65"/>
      <c r="PDL23" s="65"/>
      <c r="PDM23" s="65"/>
      <c r="PDN23" s="65"/>
      <c r="PDO23" s="65"/>
      <c r="PDP23" s="65"/>
      <c r="PDQ23" s="65"/>
      <c r="PDR23" s="65"/>
      <c r="PDS23" s="65"/>
      <c r="PDT23" s="65"/>
      <c r="PDU23" s="65"/>
      <c r="PDV23" s="65"/>
      <c r="PDW23" s="65"/>
      <c r="PDX23" s="65"/>
      <c r="PDY23" s="65"/>
      <c r="PDZ23" s="65"/>
      <c r="PEA23" s="65"/>
      <c r="PEB23" s="65"/>
      <c r="PEC23" s="65"/>
      <c r="PED23" s="65"/>
      <c r="PEE23" s="65"/>
      <c r="PEF23" s="65"/>
      <c r="PEG23" s="65"/>
      <c r="PEH23" s="65"/>
      <c r="PEI23" s="65"/>
      <c r="PEJ23" s="65"/>
      <c r="PEK23" s="65"/>
      <c r="PEL23" s="65"/>
      <c r="PEM23" s="65"/>
      <c r="PEN23" s="65"/>
      <c r="PEO23" s="65"/>
      <c r="PEP23" s="65"/>
      <c r="PEQ23" s="65"/>
      <c r="PER23" s="65"/>
      <c r="PES23" s="65"/>
      <c r="PET23" s="65"/>
      <c r="PEU23" s="65"/>
      <c r="PEV23" s="65"/>
      <c r="PEW23" s="65"/>
      <c r="PEX23" s="65"/>
      <c r="PEY23" s="65"/>
      <c r="PEZ23" s="65"/>
      <c r="PFA23" s="65"/>
      <c r="PFB23" s="65"/>
      <c r="PFC23" s="65"/>
      <c r="PFD23" s="65"/>
      <c r="PFE23" s="65"/>
      <c r="PFF23" s="65"/>
      <c r="PFG23" s="65"/>
      <c r="PFH23" s="65"/>
      <c r="PFI23" s="65"/>
      <c r="PFJ23" s="65"/>
      <c r="PFK23" s="65"/>
      <c r="PFL23" s="65"/>
      <c r="PFM23" s="65"/>
      <c r="PFN23" s="65"/>
      <c r="PFO23" s="65"/>
      <c r="PFP23" s="65"/>
      <c r="PFQ23" s="65"/>
      <c r="PFR23" s="65"/>
      <c r="PFS23" s="65"/>
      <c r="PFT23" s="65"/>
      <c r="PFU23" s="65"/>
      <c r="PFV23" s="65"/>
      <c r="PFW23" s="65"/>
      <c r="PFX23" s="65"/>
      <c r="PFY23" s="65"/>
      <c r="PFZ23" s="65"/>
      <c r="PGA23" s="65"/>
      <c r="PGB23" s="65"/>
      <c r="PGC23" s="65"/>
      <c r="PGD23" s="65"/>
      <c r="PGE23" s="65"/>
      <c r="PGF23" s="65"/>
      <c r="PGG23" s="65"/>
      <c r="PGH23" s="65"/>
      <c r="PGI23" s="65"/>
      <c r="PGJ23" s="65"/>
      <c r="PGK23" s="65"/>
      <c r="PGL23" s="65"/>
      <c r="PGM23" s="65"/>
      <c r="PGN23" s="65"/>
      <c r="PGO23" s="65"/>
      <c r="PGP23" s="65"/>
      <c r="PGQ23" s="65"/>
      <c r="PGR23" s="65"/>
      <c r="PGS23" s="65"/>
      <c r="PGT23" s="65"/>
      <c r="PGU23" s="65"/>
      <c r="PGV23" s="65"/>
      <c r="PGW23" s="65"/>
      <c r="PGX23" s="65"/>
      <c r="PGY23" s="65"/>
      <c r="PGZ23" s="65"/>
      <c r="PHA23" s="65"/>
      <c r="PHB23" s="65"/>
      <c r="PHC23" s="65"/>
      <c r="PHD23" s="65"/>
      <c r="PHE23" s="65"/>
      <c r="PHF23" s="65"/>
      <c r="PHG23" s="65"/>
      <c r="PHH23" s="65"/>
      <c r="PHI23" s="65"/>
      <c r="PHJ23" s="65"/>
      <c r="PHK23" s="65"/>
      <c r="PHL23" s="65"/>
      <c r="PHM23" s="65"/>
      <c r="PHN23" s="65"/>
      <c r="PHO23" s="65"/>
      <c r="PHP23" s="65"/>
      <c r="PHQ23" s="65"/>
      <c r="PHR23" s="65"/>
      <c r="PHS23" s="65"/>
      <c r="PHT23" s="65"/>
      <c r="PHU23" s="65"/>
      <c r="PHV23" s="65"/>
      <c r="PHW23" s="65"/>
      <c r="PHX23" s="65"/>
      <c r="PHY23" s="65"/>
      <c r="PHZ23" s="65"/>
      <c r="PIA23" s="65"/>
      <c r="PIB23" s="65"/>
      <c r="PIC23" s="65"/>
      <c r="PID23" s="65"/>
      <c r="PIE23" s="65"/>
      <c r="PIF23" s="65"/>
      <c r="PIG23" s="65"/>
      <c r="PIH23" s="65"/>
      <c r="PII23" s="65"/>
      <c r="PIJ23" s="65"/>
      <c r="PIK23" s="65"/>
      <c r="PIL23" s="65"/>
      <c r="PIM23" s="65"/>
      <c r="PIN23" s="65"/>
      <c r="PIO23" s="65"/>
      <c r="PIP23" s="65"/>
      <c r="PIQ23" s="65"/>
      <c r="PIR23" s="65"/>
      <c r="PIS23" s="65"/>
      <c r="PIT23" s="65"/>
      <c r="PIU23" s="65"/>
      <c r="PIV23" s="65"/>
      <c r="PIW23" s="65"/>
      <c r="PIX23" s="65"/>
      <c r="PIY23" s="65"/>
      <c r="PIZ23" s="65"/>
      <c r="PJA23" s="65"/>
      <c r="PJB23" s="65"/>
      <c r="PJC23" s="65"/>
      <c r="PJD23" s="65"/>
      <c r="PJE23" s="65"/>
      <c r="PJF23" s="65"/>
      <c r="PJG23" s="65"/>
      <c r="PJH23" s="65"/>
      <c r="PJI23" s="65"/>
      <c r="PJJ23" s="65"/>
      <c r="PJK23" s="65"/>
      <c r="PJL23" s="65"/>
      <c r="PJM23" s="65"/>
      <c r="PJN23" s="65"/>
      <c r="PJO23" s="65"/>
      <c r="PJP23" s="65"/>
      <c r="PJQ23" s="65"/>
      <c r="PJR23" s="65"/>
      <c r="PJS23" s="65"/>
      <c r="PJT23" s="65"/>
      <c r="PJU23" s="65"/>
      <c r="PJV23" s="65"/>
      <c r="PJW23" s="65"/>
      <c r="PJX23" s="65"/>
      <c r="PJY23" s="65"/>
      <c r="PJZ23" s="65"/>
      <c r="PKA23" s="65"/>
      <c r="PKB23" s="65"/>
      <c r="PKC23" s="65"/>
      <c r="PKD23" s="65"/>
      <c r="PKE23" s="65"/>
      <c r="PKF23" s="65"/>
      <c r="PKG23" s="65"/>
      <c r="PKH23" s="65"/>
      <c r="PKI23" s="65"/>
      <c r="PKJ23" s="65"/>
      <c r="PKK23" s="65"/>
      <c r="PKL23" s="65"/>
      <c r="PKM23" s="65"/>
      <c r="PKN23" s="65"/>
      <c r="PKO23" s="65"/>
      <c r="PKP23" s="65"/>
      <c r="PKQ23" s="65"/>
      <c r="PKR23" s="65"/>
      <c r="PKS23" s="65"/>
      <c r="PKT23" s="65"/>
      <c r="PKU23" s="65"/>
      <c r="PKV23" s="65"/>
      <c r="PKW23" s="65"/>
      <c r="PKX23" s="65"/>
      <c r="PKY23" s="65"/>
      <c r="PKZ23" s="65"/>
      <c r="PLA23" s="65"/>
      <c r="PLB23" s="65"/>
      <c r="PLC23" s="65"/>
      <c r="PLD23" s="65"/>
      <c r="PLE23" s="65"/>
      <c r="PLF23" s="65"/>
      <c r="PLG23" s="65"/>
      <c r="PLH23" s="65"/>
      <c r="PLI23" s="65"/>
      <c r="PLJ23" s="65"/>
      <c r="PLK23" s="65"/>
      <c r="PLL23" s="65"/>
      <c r="PLM23" s="65"/>
      <c r="PLN23" s="65"/>
      <c r="PLO23" s="65"/>
      <c r="PLP23" s="65"/>
      <c r="PLQ23" s="65"/>
      <c r="PLR23" s="65"/>
      <c r="PLS23" s="65"/>
      <c r="PLT23" s="65"/>
      <c r="PLU23" s="65"/>
      <c r="PLV23" s="65"/>
      <c r="PLW23" s="65"/>
      <c r="PLX23" s="65"/>
      <c r="PLY23" s="65"/>
      <c r="PLZ23" s="65"/>
      <c r="PMA23" s="65"/>
      <c r="PMB23" s="65"/>
      <c r="PMC23" s="65"/>
      <c r="PMD23" s="65"/>
      <c r="PME23" s="65"/>
      <c r="PMF23" s="65"/>
      <c r="PMG23" s="65"/>
      <c r="PMH23" s="65"/>
      <c r="PMI23" s="65"/>
      <c r="PMJ23" s="65"/>
      <c r="PMK23" s="65"/>
      <c r="PML23" s="65"/>
      <c r="PMM23" s="65"/>
      <c r="PMN23" s="65"/>
      <c r="PMO23" s="65"/>
      <c r="PMP23" s="65"/>
      <c r="PMQ23" s="65"/>
      <c r="PMR23" s="65"/>
      <c r="PMS23" s="65"/>
      <c r="PMT23" s="65"/>
      <c r="PMU23" s="65"/>
      <c r="PMV23" s="65"/>
      <c r="PMW23" s="65"/>
      <c r="PMX23" s="65"/>
      <c r="PMY23" s="65"/>
      <c r="PMZ23" s="65"/>
      <c r="PNA23" s="65"/>
      <c r="PNB23" s="65"/>
      <c r="PNC23" s="65"/>
      <c r="PND23" s="65"/>
      <c r="PNE23" s="65"/>
      <c r="PNF23" s="65"/>
      <c r="PNG23" s="65"/>
      <c r="PNH23" s="65"/>
      <c r="PNI23" s="65"/>
      <c r="PNJ23" s="65"/>
      <c r="PNK23" s="65"/>
      <c r="PNL23" s="65"/>
      <c r="PNM23" s="65"/>
      <c r="PNN23" s="65"/>
      <c r="PNO23" s="65"/>
      <c r="PNP23" s="65"/>
      <c r="PNQ23" s="65"/>
      <c r="PNR23" s="65"/>
      <c r="PNS23" s="65"/>
      <c r="PNT23" s="65"/>
      <c r="PNU23" s="65"/>
      <c r="PNV23" s="65"/>
      <c r="PNW23" s="65"/>
      <c r="PNX23" s="65"/>
      <c r="PNY23" s="65"/>
      <c r="PNZ23" s="65"/>
      <c r="POA23" s="65"/>
      <c r="POB23" s="65"/>
      <c r="POC23" s="65"/>
      <c r="POD23" s="65"/>
      <c r="POE23" s="65"/>
      <c r="POF23" s="65"/>
      <c r="POG23" s="65"/>
      <c r="POH23" s="65"/>
      <c r="POI23" s="65"/>
      <c r="POJ23" s="65"/>
      <c r="POK23" s="65"/>
      <c r="POL23" s="65"/>
      <c r="POM23" s="65"/>
      <c r="PON23" s="65"/>
      <c r="POO23" s="65"/>
      <c r="POP23" s="65"/>
      <c r="POQ23" s="65"/>
      <c r="POR23" s="65"/>
      <c r="POS23" s="65"/>
      <c r="POT23" s="65"/>
      <c r="POU23" s="65"/>
      <c r="POV23" s="65"/>
      <c r="POW23" s="65"/>
      <c r="POX23" s="65"/>
      <c r="POY23" s="65"/>
      <c r="POZ23" s="65"/>
      <c r="PPA23" s="65"/>
      <c r="PPB23" s="65"/>
      <c r="PPC23" s="65"/>
      <c r="PPD23" s="65"/>
      <c r="PPE23" s="65"/>
      <c r="PPF23" s="65"/>
      <c r="PPG23" s="65"/>
      <c r="PPH23" s="65"/>
      <c r="PPI23" s="65"/>
      <c r="PPJ23" s="65"/>
      <c r="PPK23" s="65"/>
      <c r="PPL23" s="65"/>
      <c r="PPM23" s="65"/>
      <c r="PPN23" s="65"/>
      <c r="PPO23" s="65"/>
      <c r="PPP23" s="65"/>
      <c r="PPQ23" s="65"/>
      <c r="PPR23" s="65"/>
      <c r="PPS23" s="65"/>
      <c r="PPT23" s="65"/>
      <c r="PPU23" s="65"/>
      <c r="PPV23" s="65"/>
      <c r="PPW23" s="65"/>
      <c r="PPX23" s="65"/>
      <c r="PPY23" s="65"/>
      <c r="PPZ23" s="65"/>
      <c r="PQA23" s="65"/>
      <c r="PQB23" s="65"/>
      <c r="PQC23" s="65"/>
      <c r="PQD23" s="65"/>
      <c r="PQE23" s="65"/>
      <c r="PQF23" s="65"/>
      <c r="PQG23" s="65"/>
      <c r="PQH23" s="65"/>
      <c r="PQI23" s="65"/>
      <c r="PQJ23" s="65"/>
      <c r="PQK23" s="65"/>
      <c r="PQL23" s="65"/>
      <c r="PQM23" s="65"/>
      <c r="PQN23" s="65"/>
      <c r="PQO23" s="65"/>
      <c r="PQP23" s="65"/>
      <c r="PQQ23" s="65"/>
      <c r="PQR23" s="65"/>
      <c r="PQS23" s="65"/>
      <c r="PQT23" s="65"/>
      <c r="PQU23" s="65"/>
      <c r="PQV23" s="65"/>
      <c r="PQW23" s="65"/>
      <c r="PQX23" s="65"/>
      <c r="PQY23" s="65"/>
      <c r="PQZ23" s="65"/>
      <c r="PRA23" s="65"/>
      <c r="PRB23" s="65"/>
      <c r="PRC23" s="65"/>
      <c r="PRD23" s="65"/>
      <c r="PRE23" s="65"/>
      <c r="PRF23" s="65"/>
      <c r="PRG23" s="65"/>
      <c r="PRH23" s="65"/>
      <c r="PRI23" s="65"/>
      <c r="PRJ23" s="65"/>
      <c r="PRK23" s="65"/>
      <c r="PRL23" s="65"/>
      <c r="PRM23" s="65"/>
      <c r="PRN23" s="65"/>
      <c r="PRO23" s="65"/>
      <c r="PRP23" s="65"/>
      <c r="PRQ23" s="65"/>
      <c r="PRR23" s="65"/>
      <c r="PRS23" s="65"/>
      <c r="PRT23" s="65"/>
      <c r="PRU23" s="65"/>
      <c r="PRV23" s="65"/>
      <c r="PRW23" s="65"/>
      <c r="PRX23" s="65"/>
      <c r="PRY23" s="65"/>
      <c r="PRZ23" s="65"/>
      <c r="PSA23" s="65"/>
      <c r="PSB23" s="65"/>
      <c r="PSC23" s="65"/>
      <c r="PSD23" s="65"/>
      <c r="PSE23" s="65"/>
      <c r="PSF23" s="65"/>
      <c r="PSG23" s="65"/>
      <c r="PSH23" s="65"/>
      <c r="PSI23" s="65"/>
      <c r="PSJ23" s="65"/>
      <c r="PSK23" s="65"/>
      <c r="PSL23" s="65"/>
      <c r="PSM23" s="65"/>
      <c r="PSN23" s="65"/>
      <c r="PSO23" s="65"/>
      <c r="PSP23" s="65"/>
      <c r="PSQ23" s="65"/>
      <c r="PSR23" s="65"/>
      <c r="PSS23" s="65"/>
      <c r="PST23" s="65"/>
      <c r="PSU23" s="65"/>
      <c r="PSV23" s="65"/>
      <c r="PSW23" s="65"/>
      <c r="PSX23" s="65"/>
      <c r="PSY23" s="65"/>
      <c r="PSZ23" s="65"/>
      <c r="PTA23" s="65"/>
      <c r="PTB23" s="65"/>
      <c r="PTC23" s="65"/>
      <c r="PTD23" s="65"/>
      <c r="PTE23" s="65"/>
      <c r="PTF23" s="65"/>
      <c r="PTG23" s="65"/>
      <c r="PTH23" s="65"/>
      <c r="PTI23" s="65"/>
      <c r="PTJ23" s="65"/>
      <c r="PTK23" s="65"/>
      <c r="PTL23" s="65"/>
      <c r="PTM23" s="65"/>
      <c r="PTN23" s="65"/>
      <c r="PTO23" s="65"/>
      <c r="PTP23" s="65"/>
      <c r="PTQ23" s="65"/>
      <c r="PTR23" s="65"/>
      <c r="PTS23" s="65"/>
      <c r="PTT23" s="65"/>
      <c r="PTU23" s="65"/>
      <c r="PTV23" s="65"/>
      <c r="PTW23" s="65"/>
      <c r="PTX23" s="65"/>
      <c r="PTY23" s="65"/>
      <c r="PTZ23" s="65"/>
      <c r="PUA23" s="65"/>
      <c r="PUB23" s="65"/>
      <c r="PUC23" s="65"/>
      <c r="PUD23" s="65"/>
      <c r="PUE23" s="65"/>
      <c r="PUF23" s="65"/>
      <c r="PUG23" s="65"/>
      <c r="PUH23" s="65"/>
      <c r="PUI23" s="65"/>
      <c r="PUJ23" s="65"/>
      <c r="PUK23" s="65"/>
      <c r="PUL23" s="65"/>
      <c r="PUM23" s="65"/>
      <c r="PUN23" s="65"/>
      <c r="PUO23" s="65"/>
      <c r="PUP23" s="65"/>
      <c r="PUQ23" s="65"/>
      <c r="PUR23" s="65"/>
      <c r="PUS23" s="65"/>
      <c r="PUT23" s="65"/>
      <c r="PUU23" s="65"/>
      <c r="PUV23" s="65"/>
      <c r="PUW23" s="65"/>
      <c r="PUX23" s="65"/>
      <c r="PUY23" s="65"/>
      <c r="PUZ23" s="65"/>
      <c r="PVA23" s="65"/>
      <c r="PVB23" s="65"/>
      <c r="PVC23" s="65"/>
      <c r="PVD23" s="65"/>
      <c r="PVE23" s="65"/>
      <c r="PVF23" s="65"/>
      <c r="PVG23" s="65"/>
      <c r="PVH23" s="65"/>
      <c r="PVI23" s="65"/>
      <c r="PVJ23" s="65"/>
      <c r="PVK23" s="65"/>
      <c r="PVL23" s="65"/>
      <c r="PVM23" s="65"/>
      <c r="PVN23" s="65"/>
      <c r="PVO23" s="65"/>
      <c r="PVP23" s="65"/>
      <c r="PVQ23" s="65"/>
      <c r="PVR23" s="65"/>
      <c r="PVS23" s="65"/>
      <c r="PVT23" s="65"/>
      <c r="PVU23" s="65"/>
      <c r="PVV23" s="65"/>
      <c r="PVW23" s="65"/>
      <c r="PVX23" s="65"/>
      <c r="PVY23" s="65"/>
      <c r="PVZ23" s="65"/>
      <c r="PWA23" s="65"/>
      <c r="PWB23" s="65"/>
      <c r="PWC23" s="65"/>
      <c r="PWD23" s="65"/>
      <c r="PWE23" s="65"/>
      <c r="PWF23" s="65"/>
      <c r="PWG23" s="65"/>
      <c r="PWH23" s="65"/>
      <c r="PWI23" s="65"/>
      <c r="PWJ23" s="65"/>
      <c r="PWK23" s="65"/>
      <c r="PWL23" s="65"/>
      <c r="PWM23" s="65"/>
      <c r="PWN23" s="65"/>
      <c r="PWO23" s="65"/>
      <c r="PWP23" s="65"/>
      <c r="PWQ23" s="65"/>
      <c r="PWR23" s="65"/>
      <c r="PWS23" s="65"/>
      <c r="PWT23" s="65"/>
      <c r="PWU23" s="65"/>
      <c r="PWV23" s="65"/>
      <c r="PWW23" s="65"/>
      <c r="PWX23" s="65"/>
      <c r="PWY23" s="65"/>
      <c r="PWZ23" s="65"/>
      <c r="PXA23" s="65"/>
      <c r="PXB23" s="65"/>
      <c r="PXC23" s="65"/>
      <c r="PXD23" s="65"/>
      <c r="PXE23" s="65"/>
      <c r="PXF23" s="65"/>
      <c r="PXG23" s="65"/>
      <c r="PXH23" s="65"/>
      <c r="PXI23" s="65"/>
      <c r="PXJ23" s="65"/>
      <c r="PXK23" s="65"/>
      <c r="PXL23" s="65"/>
      <c r="PXM23" s="65"/>
      <c r="PXN23" s="65"/>
      <c r="PXO23" s="65"/>
      <c r="PXP23" s="65"/>
      <c r="PXQ23" s="65"/>
      <c r="PXR23" s="65"/>
      <c r="PXS23" s="65"/>
      <c r="PXT23" s="65"/>
      <c r="PXU23" s="65"/>
      <c r="PXV23" s="65"/>
      <c r="PXW23" s="65"/>
      <c r="PXX23" s="65"/>
      <c r="PXY23" s="65"/>
      <c r="PXZ23" s="65"/>
      <c r="PYA23" s="65"/>
      <c r="PYB23" s="65"/>
      <c r="PYC23" s="65"/>
      <c r="PYD23" s="65"/>
      <c r="PYE23" s="65"/>
      <c r="PYF23" s="65"/>
      <c r="PYG23" s="65"/>
      <c r="PYH23" s="65"/>
      <c r="PYI23" s="65"/>
      <c r="PYJ23" s="65"/>
      <c r="PYK23" s="65"/>
      <c r="PYL23" s="65"/>
      <c r="PYM23" s="65"/>
      <c r="PYN23" s="65"/>
      <c r="PYO23" s="65"/>
      <c r="PYP23" s="65"/>
      <c r="PYQ23" s="65"/>
      <c r="PYR23" s="65"/>
      <c r="PYS23" s="65"/>
      <c r="PYT23" s="65"/>
      <c r="PYU23" s="65"/>
      <c r="PYV23" s="65"/>
      <c r="PYW23" s="65"/>
      <c r="PYX23" s="65"/>
      <c r="PYY23" s="65"/>
      <c r="PYZ23" s="65"/>
      <c r="PZA23" s="65"/>
      <c r="PZB23" s="65"/>
      <c r="PZC23" s="65"/>
      <c r="PZD23" s="65"/>
      <c r="PZE23" s="65"/>
      <c r="PZF23" s="65"/>
      <c r="PZG23" s="65"/>
      <c r="PZH23" s="65"/>
      <c r="PZI23" s="65"/>
      <c r="PZJ23" s="65"/>
      <c r="PZK23" s="65"/>
      <c r="PZL23" s="65"/>
      <c r="PZM23" s="65"/>
      <c r="PZN23" s="65"/>
      <c r="PZO23" s="65"/>
      <c r="PZP23" s="65"/>
      <c r="PZQ23" s="65"/>
      <c r="PZR23" s="65"/>
      <c r="PZS23" s="65"/>
      <c r="PZT23" s="65"/>
      <c r="PZU23" s="65"/>
      <c r="PZV23" s="65"/>
      <c r="PZW23" s="65"/>
      <c r="PZX23" s="65"/>
      <c r="PZY23" s="65"/>
      <c r="PZZ23" s="65"/>
      <c r="QAA23" s="65"/>
      <c r="QAB23" s="65"/>
      <c r="QAC23" s="65"/>
      <c r="QAD23" s="65"/>
      <c r="QAE23" s="65"/>
      <c r="QAF23" s="65"/>
      <c r="QAG23" s="65"/>
      <c r="QAH23" s="65"/>
      <c r="QAI23" s="65"/>
      <c r="QAJ23" s="65"/>
      <c r="QAK23" s="65"/>
      <c r="QAL23" s="65"/>
      <c r="QAM23" s="65"/>
      <c r="QAN23" s="65"/>
      <c r="QAO23" s="65"/>
      <c r="QAP23" s="65"/>
      <c r="QAQ23" s="65"/>
      <c r="QAR23" s="65"/>
      <c r="QAS23" s="65"/>
      <c r="QAT23" s="65"/>
      <c r="QAU23" s="65"/>
      <c r="QAV23" s="65"/>
      <c r="QAW23" s="65"/>
      <c r="QAX23" s="65"/>
      <c r="QAY23" s="65"/>
      <c r="QAZ23" s="65"/>
      <c r="QBA23" s="65"/>
      <c r="QBB23" s="65"/>
      <c r="QBC23" s="65"/>
      <c r="QBD23" s="65"/>
      <c r="QBE23" s="65"/>
      <c r="QBF23" s="65"/>
      <c r="QBG23" s="65"/>
      <c r="QBH23" s="65"/>
      <c r="QBI23" s="65"/>
      <c r="QBJ23" s="65"/>
      <c r="QBK23" s="65"/>
      <c r="QBL23" s="65"/>
      <c r="QBM23" s="65"/>
      <c r="QBN23" s="65"/>
      <c r="QBO23" s="65"/>
      <c r="QBP23" s="65"/>
      <c r="QBQ23" s="65"/>
      <c r="QBR23" s="65"/>
      <c r="QBS23" s="65"/>
      <c r="QBT23" s="65"/>
      <c r="QBU23" s="65"/>
      <c r="QBV23" s="65"/>
      <c r="QBW23" s="65"/>
      <c r="QBX23" s="65"/>
      <c r="QBY23" s="65"/>
      <c r="QBZ23" s="65"/>
      <c r="QCA23" s="65"/>
      <c r="QCB23" s="65"/>
      <c r="QCC23" s="65"/>
      <c r="QCD23" s="65"/>
      <c r="QCE23" s="65"/>
      <c r="QCF23" s="65"/>
      <c r="QCG23" s="65"/>
      <c r="QCH23" s="65"/>
      <c r="QCI23" s="65"/>
      <c r="QCJ23" s="65"/>
      <c r="QCK23" s="65"/>
      <c r="QCL23" s="65"/>
      <c r="QCM23" s="65"/>
      <c r="QCN23" s="65"/>
      <c r="QCO23" s="65"/>
      <c r="QCP23" s="65"/>
      <c r="QCQ23" s="65"/>
      <c r="QCR23" s="65"/>
      <c r="QCS23" s="65"/>
      <c r="QCT23" s="65"/>
      <c r="QCU23" s="65"/>
      <c r="QCV23" s="65"/>
      <c r="QCW23" s="65"/>
      <c r="QCX23" s="65"/>
      <c r="QCY23" s="65"/>
      <c r="QCZ23" s="65"/>
      <c r="QDA23" s="65"/>
      <c r="QDB23" s="65"/>
      <c r="QDC23" s="65"/>
      <c r="QDD23" s="65"/>
      <c r="QDE23" s="65"/>
      <c r="QDF23" s="65"/>
      <c r="QDG23" s="65"/>
      <c r="QDH23" s="65"/>
      <c r="QDI23" s="65"/>
      <c r="QDJ23" s="65"/>
      <c r="QDK23" s="65"/>
      <c r="QDL23" s="65"/>
      <c r="QDM23" s="65"/>
      <c r="QDN23" s="65"/>
      <c r="QDO23" s="65"/>
      <c r="QDP23" s="65"/>
      <c r="QDQ23" s="65"/>
      <c r="QDR23" s="65"/>
      <c r="QDS23" s="65"/>
      <c r="QDT23" s="65"/>
      <c r="QDU23" s="65"/>
      <c r="QDV23" s="65"/>
      <c r="QDW23" s="65"/>
      <c r="QDX23" s="65"/>
      <c r="QDY23" s="65"/>
      <c r="QDZ23" s="65"/>
      <c r="QEA23" s="65"/>
      <c r="QEB23" s="65"/>
      <c r="QEC23" s="65"/>
      <c r="QED23" s="65"/>
      <c r="QEE23" s="65"/>
      <c r="QEF23" s="65"/>
      <c r="QEG23" s="65"/>
      <c r="QEH23" s="65"/>
      <c r="QEI23" s="65"/>
      <c r="QEJ23" s="65"/>
      <c r="QEK23" s="65"/>
      <c r="QEL23" s="65"/>
      <c r="QEM23" s="65"/>
      <c r="QEN23" s="65"/>
      <c r="QEO23" s="65"/>
      <c r="QEP23" s="65"/>
      <c r="QEQ23" s="65"/>
      <c r="QER23" s="65"/>
      <c r="QES23" s="65"/>
      <c r="QET23" s="65"/>
      <c r="QEU23" s="65"/>
      <c r="QEV23" s="65"/>
      <c r="QEW23" s="65"/>
      <c r="QEX23" s="65"/>
      <c r="QEY23" s="65"/>
      <c r="QEZ23" s="65"/>
      <c r="QFA23" s="65"/>
      <c r="QFB23" s="65"/>
      <c r="QFC23" s="65"/>
      <c r="QFD23" s="65"/>
      <c r="QFE23" s="65"/>
      <c r="QFF23" s="65"/>
      <c r="QFG23" s="65"/>
      <c r="QFH23" s="65"/>
      <c r="QFI23" s="65"/>
      <c r="QFJ23" s="65"/>
      <c r="QFK23" s="65"/>
      <c r="QFL23" s="65"/>
      <c r="QFM23" s="65"/>
      <c r="QFN23" s="65"/>
      <c r="QFO23" s="65"/>
      <c r="QFP23" s="65"/>
      <c r="QFQ23" s="65"/>
      <c r="QFR23" s="65"/>
      <c r="QFS23" s="65"/>
      <c r="QFT23" s="65"/>
      <c r="QFU23" s="65"/>
      <c r="QFV23" s="65"/>
      <c r="QFW23" s="65"/>
      <c r="QFX23" s="65"/>
      <c r="QFY23" s="65"/>
      <c r="QFZ23" s="65"/>
      <c r="QGA23" s="65"/>
      <c r="QGB23" s="65"/>
      <c r="QGC23" s="65"/>
      <c r="QGD23" s="65"/>
      <c r="QGE23" s="65"/>
      <c r="QGF23" s="65"/>
      <c r="QGG23" s="65"/>
      <c r="QGH23" s="65"/>
      <c r="QGI23" s="65"/>
      <c r="QGJ23" s="65"/>
      <c r="QGK23" s="65"/>
      <c r="QGL23" s="65"/>
      <c r="QGM23" s="65"/>
      <c r="QGN23" s="65"/>
      <c r="QGO23" s="65"/>
      <c r="QGP23" s="65"/>
      <c r="QGQ23" s="65"/>
      <c r="QGR23" s="65"/>
      <c r="QGS23" s="65"/>
      <c r="QGT23" s="65"/>
      <c r="QGU23" s="65"/>
      <c r="QGV23" s="65"/>
      <c r="QGW23" s="65"/>
      <c r="QGX23" s="65"/>
      <c r="QGY23" s="65"/>
      <c r="QGZ23" s="65"/>
      <c r="QHA23" s="65"/>
      <c r="QHB23" s="65"/>
      <c r="QHC23" s="65"/>
      <c r="QHD23" s="65"/>
      <c r="QHE23" s="65"/>
      <c r="QHF23" s="65"/>
      <c r="QHG23" s="65"/>
      <c r="QHH23" s="65"/>
      <c r="QHI23" s="65"/>
      <c r="QHJ23" s="65"/>
      <c r="QHK23" s="65"/>
      <c r="QHL23" s="65"/>
      <c r="QHM23" s="65"/>
      <c r="QHN23" s="65"/>
      <c r="QHO23" s="65"/>
      <c r="QHP23" s="65"/>
      <c r="QHQ23" s="65"/>
      <c r="QHR23" s="65"/>
      <c r="QHS23" s="65"/>
      <c r="QHT23" s="65"/>
      <c r="QHU23" s="65"/>
      <c r="QHV23" s="65"/>
      <c r="QHW23" s="65"/>
      <c r="QHX23" s="65"/>
      <c r="QHY23" s="65"/>
      <c r="QHZ23" s="65"/>
      <c r="QIA23" s="65"/>
      <c r="QIB23" s="65"/>
      <c r="QIC23" s="65"/>
      <c r="QID23" s="65"/>
      <c r="QIE23" s="65"/>
      <c r="QIF23" s="65"/>
      <c r="QIG23" s="65"/>
      <c r="QIH23" s="65"/>
      <c r="QII23" s="65"/>
      <c r="QIJ23" s="65"/>
      <c r="QIK23" s="65"/>
      <c r="QIL23" s="65"/>
      <c r="QIM23" s="65"/>
      <c r="QIN23" s="65"/>
      <c r="QIO23" s="65"/>
      <c r="QIP23" s="65"/>
      <c r="QIQ23" s="65"/>
      <c r="QIR23" s="65"/>
      <c r="QIS23" s="65"/>
      <c r="QIT23" s="65"/>
      <c r="QIU23" s="65"/>
      <c r="QIV23" s="65"/>
      <c r="QIW23" s="65"/>
      <c r="QIX23" s="65"/>
      <c r="QIY23" s="65"/>
      <c r="QIZ23" s="65"/>
      <c r="QJA23" s="65"/>
      <c r="QJB23" s="65"/>
      <c r="QJC23" s="65"/>
      <c r="QJD23" s="65"/>
      <c r="QJE23" s="65"/>
      <c r="QJF23" s="65"/>
      <c r="QJG23" s="65"/>
      <c r="QJH23" s="65"/>
      <c r="QJI23" s="65"/>
      <c r="QJJ23" s="65"/>
      <c r="QJK23" s="65"/>
      <c r="QJL23" s="65"/>
      <c r="QJM23" s="65"/>
      <c r="QJN23" s="65"/>
      <c r="QJO23" s="65"/>
      <c r="QJP23" s="65"/>
      <c r="QJQ23" s="65"/>
      <c r="QJR23" s="65"/>
      <c r="QJS23" s="65"/>
      <c r="QJT23" s="65"/>
      <c r="QJU23" s="65"/>
      <c r="QJV23" s="65"/>
      <c r="QJW23" s="65"/>
      <c r="QJX23" s="65"/>
      <c r="QJY23" s="65"/>
      <c r="QJZ23" s="65"/>
      <c r="QKA23" s="65"/>
      <c r="QKB23" s="65"/>
      <c r="QKC23" s="65"/>
      <c r="QKD23" s="65"/>
      <c r="QKE23" s="65"/>
      <c r="QKF23" s="65"/>
      <c r="QKG23" s="65"/>
      <c r="QKH23" s="65"/>
      <c r="QKI23" s="65"/>
      <c r="QKJ23" s="65"/>
      <c r="QKK23" s="65"/>
      <c r="QKL23" s="65"/>
      <c r="QKM23" s="65"/>
      <c r="QKN23" s="65"/>
      <c r="QKO23" s="65"/>
      <c r="QKP23" s="65"/>
      <c r="QKQ23" s="65"/>
      <c r="QKR23" s="65"/>
      <c r="QKS23" s="65"/>
      <c r="QKT23" s="65"/>
      <c r="QKU23" s="65"/>
      <c r="QKV23" s="65"/>
      <c r="QKW23" s="65"/>
      <c r="QKX23" s="65"/>
      <c r="QKY23" s="65"/>
      <c r="QKZ23" s="65"/>
      <c r="QLA23" s="65"/>
      <c r="QLB23" s="65"/>
      <c r="QLC23" s="65"/>
      <c r="QLD23" s="65"/>
      <c r="QLE23" s="65"/>
      <c r="QLF23" s="65"/>
      <c r="QLG23" s="65"/>
      <c r="QLH23" s="65"/>
      <c r="QLI23" s="65"/>
      <c r="QLJ23" s="65"/>
      <c r="QLK23" s="65"/>
      <c r="QLL23" s="65"/>
      <c r="QLM23" s="65"/>
      <c r="QLN23" s="65"/>
      <c r="QLO23" s="65"/>
      <c r="QLP23" s="65"/>
      <c r="QLQ23" s="65"/>
      <c r="QLR23" s="65"/>
      <c r="QLS23" s="65"/>
      <c r="QLT23" s="65"/>
      <c r="QLU23" s="65"/>
      <c r="QLV23" s="65"/>
      <c r="QLW23" s="65"/>
      <c r="QLX23" s="65"/>
      <c r="QLY23" s="65"/>
      <c r="QLZ23" s="65"/>
      <c r="QMA23" s="65"/>
      <c r="QMB23" s="65"/>
      <c r="QMC23" s="65"/>
      <c r="QMD23" s="65"/>
      <c r="QME23" s="65"/>
      <c r="QMF23" s="65"/>
      <c r="QMG23" s="65"/>
      <c r="QMH23" s="65"/>
      <c r="QMI23" s="65"/>
      <c r="QMJ23" s="65"/>
      <c r="QMK23" s="65"/>
      <c r="QML23" s="65"/>
      <c r="QMM23" s="65"/>
      <c r="QMN23" s="65"/>
      <c r="QMO23" s="65"/>
      <c r="QMP23" s="65"/>
      <c r="QMQ23" s="65"/>
      <c r="QMR23" s="65"/>
      <c r="QMS23" s="65"/>
      <c r="QMT23" s="65"/>
      <c r="QMU23" s="65"/>
      <c r="QMV23" s="65"/>
      <c r="QMW23" s="65"/>
      <c r="QMX23" s="65"/>
      <c r="QMY23" s="65"/>
      <c r="QMZ23" s="65"/>
      <c r="QNA23" s="65"/>
      <c r="QNB23" s="65"/>
      <c r="QNC23" s="65"/>
      <c r="QND23" s="65"/>
      <c r="QNE23" s="65"/>
      <c r="QNF23" s="65"/>
      <c r="QNG23" s="65"/>
      <c r="QNH23" s="65"/>
      <c r="QNI23" s="65"/>
      <c r="QNJ23" s="65"/>
      <c r="QNK23" s="65"/>
      <c r="QNL23" s="65"/>
      <c r="QNM23" s="65"/>
      <c r="QNN23" s="65"/>
      <c r="QNO23" s="65"/>
      <c r="QNP23" s="65"/>
      <c r="QNQ23" s="65"/>
      <c r="QNR23" s="65"/>
      <c r="QNS23" s="65"/>
      <c r="QNT23" s="65"/>
      <c r="QNU23" s="65"/>
      <c r="QNV23" s="65"/>
      <c r="QNW23" s="65"/>
      <c r="QNX23" s="65"/>
      <c r="QNY23" s="65"/>
      <c r="QNZ23" s="65"/>
      <c r="QOA23" s="65"/>
      <c r="QOB23" s="65"/>
      <c r="QOC23" s="65"/>
      <c r="QOD23" s="65"/>
      <c r="QOE23" s="65"/>
      <c r="QOF23" s="65"/>
      <c r="QOG23" s="65"/>
      <c r="QOH23" s="65"/>
      <c r="QOI23" s="65"/>
      <c r="QOJ23" s="65"/>
      <c r="QOK23" s="65"/>
      <c r="QOL23" s="65"/>
      <c r="QOM23" s="65"/>
      <c r="QON23" s="65"/>
      <c r="QOO23" s="65"/>
      <c r="QOP23" s="65"/>
      <c r="QOQ23" s="65"/>
      <c r="QOR23" s="65"/>
      <c r="QOS23" s="65"/>
      <c r="QOT23" s="65"/>
      <c r="QOU23" s="65"/>
      <c r="QOV23" s="65"/>
      <c r="QOW23" s="65"/>
      <c r="QOX23" s="65"/>
      <c r="QOY23" s="65"/>
      <c r="QOZ23" s="65"/>
      <c r="QPA23" s="65"/>
      <c r="QPB23" s="65"/>
      <c r="QPC23" s="65"/>
      <c r="QPD23" s="65"/>
      <c r="QPE23" s="65"/>
      <c r="QPF23" s="65"/>
      <c r="QPG23" s="65"/>
      <c r="QPH23" s="65"/>
      <c r="QPI23" s="65"/>
      <c r="QPJ23" s="65"/>
      <c r="QPK23" s="65"/>
      <c r="QPL23" s="65"/>
      <c r="QPM23" s="65"/>
      <c r="QPN23" s="65"/>
      <c r="QPO23" s="65"/>
      <c r="QPP23" s="65"/>
      <c r="QPQ23" s="65"/>
      <c r="QPR23" s="65"/>
      <c r="QPS23" s="65"/>
      <c r="QPT23" s="65"/>
      <c r="QPU23" s="65"/>
      <c r="QPV23" s="65"/>
      <c r="QPW23" s="65"/>
      <c r="QPX23" s="65"/>
      <c r="QPY23" s="65"/>
      <c r="QPZ23" s="65"/>
      <c r="QQA23" s="65"/>
      <c r="QQB23" s="65"/>
      <c r="QQC23" s="65"/>
      <c r="QQD23" s="65"/>
      <c r="QQE23" s="65"/>
      <c r="QQF23" s="65"/>
      <c r="QQG23" s="65"/>
      <c r="QQH23" s="65"/>
      <c r="QQI23" s="65"/>
      <c r="QQJ23" s="65"/>
      <c r="QQK23" s="65"/>
      <c r="QQL23" s="65"/>
      <c r="QQM23" s="65"/>
      <c r="QQN23" s="65"/>
      <c r="QQO23" s="65"/>
      <c r="QQP23" s="65"/>
      <c r="QQQ23" s="65"/>
      <c r="QQR23" s="65"/>
      <c r="QQS23" s="65"/>
      <c r="QQT23" s="65"/>
      <c r="QQU23" s="65"/>
      <c r="QQV23" s="65"/>
      <c r="QQW23" s="65"/>
      <c r="QQX23" s="65"/>
      <c r="QQY23" s="65"/>
      <c r="QQZ23" s="65"/>
      <c r="QRA23" s="65"/>
      <c r="QRB23" s="65"/>
      <c r="QRC23" s="65"/>
      <c r="QRD23" s="65"/>
      <c r="QRE23" s="65"/>
      <c r="QRF23" s="65"/>
      <c r="QRG23" s="65"/>
      <c r="QRH23" s="65"/>
      <c r="QRI23" s="65"/>
      <c r="QRJ23" s="65"/>
      <c r="QRK23" s="65"/>
      <c r="QRL23" s="65"/>
      <c r="QRM23" s="65"/>
      <c r="QRN23" s="65"/>
      <c r="QRO23" s="65"/>
      <c r="QRP23" s="65"/>
      <c r="QRQ23" s="65"/>
      <c r="QRR23" s="65"/>
      <c r="QRS23" s="65"/>
      <c r="QRT23" s="65"/>
      <c r="QRU23" s="65"/>
      <c r="QRV23" s="65"/>
      <c r="QRW23" s="65"/>
      <c r="QRX23" s="65"/>
      <c r="QRY23" s="65"/>
      <c r="QRZ23" s="65"/>
      <c r="QSA23" s="65"/>
      <c r="QSB23" s="65"/>
      <c r="QSC23" s="65"/>
      <c r="QSD23" s="65"/>
      <c r="QSE23" s="65"/>
      <c r="QSF23" s="65"/>
      <c r="QSG23" s="65"/>
      <c r="QSH23" s="65"/>
      <c r="QSI23" s="65"/>
      <c r="QSJ23" s="65"/>
      <c r="QSK23" s="65"/>
      <c r="QSL23" s="65"/>
      <c r="QSM23" s="65"/>
      <c r="QSN23" s="65"/>
      <c r="QSO23" s="65"/>
      <c r="QSP23" s="65"/>
      <c r="QSQ23" s="65"/>
      <c r="QSR23" s="65"/>
      <c r="QSS23" s="65"/>
      <c r="QST23" s="65"/>
      <c r="QSU23" s="65"/>
      <c r="QSV23" s="65"/>
      <c r="QSW23" s="65"/>
      <c r="QSX23" s="65"/>
      <c r="QSY23" s="65"/>
      <c r="QSZ23" s="65"/>
      <c r="QTA23" s="65"/>
      <c r="QTB23" s="65"/>
      <c r="QTC23" s="65"/>
      <c r="QTD23" s="65"/>
      <c r="QTE23" s="65"/>
      <c r="QTF23" s="65"/>
      <c r="QTG23" s="65"/>
      <c r="QTH23" s="65"/>
      <c r="QTI23" s="65"/>
      <c r="QTJ23" s="65"/>
      <c r="QTK23" s="65"/>
      <c r="QTL23" s="65"/>
      <c r="QTM23" s="65"/>
      <c r="QTN23" s="65"/>
      <c r="QTO23" s="65"/>
      <c r="QTP23" s="65"/>
      <c r="QTQ23" s="65"/>
      <c r="QTR23" s="65"/>
      <c r="QTS23" s="65"/>
      <c r="QTT23" s="65"/>
      <c r="QTU23" s="65"/>
      <c r="QTV23" s="65"/>
      <c r="QTW23" s="65"/>
      <c r="QTX23" s="65"/>
      <c r="QTY23" s="65"/>
      <c r="QTZ23" s="65"/>
      <c r="QUA23" s="65"/>
      <c r="QUB23" s="65"/>
      <c r="QUC23" s="65"/>
      <c r="QUD23" s="65"/>
      <c r="QUE23" s="65"/>
      <c r="QUF23" s="65"/>
      <c r="QUG23" s="65"/>
      <c r="QUH23" s="65"/>
      <c r="QUI23" s="65"/>
      <c r="QUJ23" s="65"/>
      <c r="QUK23" s="65"/>
      <c r="QUL23" s="65"/>
      <c r="QUM23" s="65"/>
      <c r="QUN23" s="65"/>
      <c r="QUO23" s="65"/>
      <c r="QUP23" s="65"/>
      <c r="QUQ23" s="65"/>
      <c r="QUR23" s="65"/>
      <c r="QUS23" s="65"/>
      <c r="QUT23" s="65"/>
      <c r="QUU23" s="65"/>
      <c r="QUV23" s="65"/>
      <c r="QUW23" s="65"/>
      <c r="QUX23" s="65"/>
      <c r="QUY23" s="65"/>
      <c r="QUZ23" s="65"/>
      <c r="QVA23" s="65"/>
      <c r="QVB23" s="65"/>
      <c r="QVC23" s="65"/>
      <c r="QVD23" s="65"/>
      <c r="QVE23" s="65"/>
      <c r="QVF23" s="65"/>
      <c r="QVG23" s="65"/>
      <c r="QVH23" s="65"/>
      <c r="QVI23" s="65"/>
      <c r="QVJ23" s="65"/>
      <c r="QVK23" s="65"/>
      <c r="QVL23" s="65"/>
      <c r="QVM23" s="65"/>
      <c r="QVN23" s="65"/>
      <c r="QVO23" s="65"/>
      <c r="QVP23" s="65"/>
      <c r="QVQ23" s="65"/>
      <c r="QVR23" s="65"/>
      <c r="QVS23" s="65"/>
      <c r="QVT23" s="65"/>
      <c r="QVU23" s="65"/>
      <c r="QVV23" s="65"/>
      <c r="QVW23" s="65"/>
      <c r="QVX23" s="65"/>
      <c r="QVY23" s="65"/>
      <c r="QVZ23" s="65"/>
      <c r="QWA23" s="65"/>
      <c r="QWB23" s="65"/>
      <c r="QWC23" s="65"/>
      <c r="QWD23" s="65"/>
      <c r="QWE23" s="65"/>
      <c r="QWF23" s="65"/>
      <c r="QWG23" s="65"/>
      <c r="QWH23" s="65"/>
      <c r="QWI23" s="65"/>
      <c r="QWJ23" s="65"/>
      <c r="QWK23" s="65"/>
      <c r="QWL23" s="65"/>
      <c r="QWM23" s="65"/>
      <c r="QWN23" s="65"/>
      <c r="QWO23" s="65"/>
      <c r="QWP23" s="65"/>
      <c r="QWQ23" s="65"/>
      <c r="QWR23" s="65"/>
      <c r="QWS23" s="65"/>
      <c r="QWT23" s="65"/>
      <c r="QWU23" s="65"/>
      <c r="QWV23" s="65"/>
      <c r="QWW23" s="65"/>
      <c r="QWX23" s="65"/>
      <c r="QWY23" s="65"/>
      <c r="QWZ23" s="65"/>
      <c r="QXA23" s="65"/>
      <c r="QXB23" s="65"/>
      <c r="QXC23" s="65"/>
      <c r="QXD23" s="65"/>
      <c r="QXE23" s="65"/>
      <c r="QXF23" s="65"/>
      <c r="QXG23" s="65"/>
      <c r="QXH23" s="65"/>
      <c r="QXI23" s="65"/>
      <c r="QXJ23" s="65"/>
      <c r="QXK23" s="65"/>
      <c r="QXL23" s="65"/>
      <c r="QXM23" s="65"/>
      <c r="QXN23" s="65"/>
      <c r="QXO23" s="65"/>
      <c r="QXP23" s="65"/>
      <c r="QXQ23" s="65"/>
      <c r="QXR23" s="65"/>
      <c r="QXS23" s="65"/>
      <c r="QXT23" s="65"/>
      <c r="QXU23" s="65"/>
      <c r="QXV23" s="65"/>
      <c r="QXW23" s="65"/>
      <c r="QXX23" s="65"/>
      <c r="QXY23" s="65"/>
      <c r="QXZ23" s="65"/>
      <c r="QYA23" s="65"/>
      <c r="QYB23" s="65"/>
      <c r="QYC23" s="65"/>
      <c r="QYD23" s="65"/>
      <c r="QYE23" s="65"/>
      <c r="QYF23" s="65"/>
      <c r="QYG23" s="65"/>
      <c r="QYH23" s="65"/>
      <c r="QYI23" s="65"/>
      <c r="QYJ23" s="65"/>
      <c r="QYK23" s="65"/>
      <c r="QYL23" s="65"/>
      <c r="QYM23" s="65"/>
      <c r="QYN23" s="65"/>
      <c r="QYO23" s="65"/>
      <c r="QYP23" s="65"/>
      <c r="QYQ23" s="65"/>
      <c r="QYR23" s="65"/>
      <c r="QYS23" s="65"/>
      <c r="QYT23" s="65"/>
      <c r="QYU23" s="65"/>
      <c r="QYV23" s="65"/>
      <c r="QYW23" s="65"/>
      <c r="QYX23" s="65"/>
      <c r="QYY23" s="65"/>
      <c r="QYZ23" s="65"/>
      <c r="QZA23" s="65"/>
      <c r="QZB23" s="65"/>
      <c r="QZC23" s="65"/>
      <c r="QZD23" s="65"/>
      <c r="QZE23" s="65"/>
      <c r="QZF23" s="65"/>
      <c r="QZG23" s="65"/>
      <c r="QZH23" s="65"/>
      <c r="QZI23" s="65"/>
      <c r="QZJ23" s="65"/>
      <c r="QZK23" s="65"/>
      <c r="QZL23" s="65"/>
      <c r="QZM23" s="65"/>
      <c r="QZN23" s="65"/>
      <c r="QZO23" s="65"/>
      <c r="QZP23" s="65"/>
      <c r="QZQ23" s="65"/>
      <c r="QZR23" s="65"/>
      <c r="QZS23" s="65"/>
      <c r="QZT23" s="65"/>
      <c r="QZU23" s="65"/>
      <c r="QZV23" s="65"/>
      <c r="QZW23" s="65"/>
      <c r="QZX23" s="65"/>
      <c r="QZY23" s="65"/>
      <c r="QZZ23" s="65"/>
      <c r="RAA23" s="65"/>
      <c r="RAB23" s="65"/>
      <c r="RAC23" s="65"/>
      <c r="RAD23" s="65"/>
      <c r="RAE23" s="65"/>
      <c r="RAF23" s="65"/>
      <c r="RAG23" s="65"/>
      <c r="RAH23" s="65"/>
      <c r="RAI23" s="65"/>
      <c r="RAJ23" s="65"/>
      <c r="RAK23" s="65"/>
      <c r="RAL23" s="65"/>
      <c r="RAM23" s="65"/>
      <c r="RAN23" s="65"/>
      <c r="RAO23" s="65"/>
      <c r="RAP23" s="65"/>
      <c r="RAQ23" s="65"/>
      <c r="RAR23" s="65"/>
      <c r="RAS23" s="65"/>
      <c r="RAT23" s="65"/>
      <c r="RAU23" s="65"/>
      <c r="RAV23" s="65"/>
      <c r="RAW23" s="65"/>
      <c r="RAX23" s="65"/>
      <c r="RAY23" s="65"/>
      <c r="RAZ23" s="65"/>
      <c r="RBA23" s="65"/>
      <c r="RBB23" s="65"/>
      <c r="RBC23" s="65"/>
      <c r="RBD23" s="65"/>
      <c r="RBE23" s="65"/>
      <c r="RBF23" s="65"/>
      <c r="RBG23" s="65"/>
      <c r="RBH23" s="65"/>
      <c r="RBI23" s="65"/>
      <c r="RBJ23" s="65"/>
      <c r="RBK23" s="65"/>
      <c r="RBL23" s="65"/>
      <c r="RBM23" s="65"/>
      <c r="RBN23" s="65"/>
      <c r="RBO23" s="65"/>
      <c r="RBP23" s="65"/>
      <c r="RBQ23" s="65"/>
      <c r="RBR23" s="65"/>
      <c r="RBS23" s="65"/>
      <c r="RBT23" s="65"/>
      <c r="RBU23" s="65"/>
      <c r="RBV23" s="65"/>
      <c r="RBW23" s="65"/>
      <c r="RBX23" s="65"/>
      <c r="RBY23" s="65"/>
      <c r="RBZ23" s="65"/>
      <c r="RCA23" s="65"/>
      <c r="RCB23" s="65"/>
      <c r="RCC23" s="65"/>
      <c r="RCD23" s="65"/>
      <c r="RCE23" s="65"/>
      <c r="RCF23" s="65"/>
      <c r="RCG23" s="65"/>
      <c r="RCH23" s="65"/>
      <c r="RCI23" s="65"/>
      <c r="RCJ23" s="65"/>
      <c r="RCK23" s="65"/>
      <c r="RCL23" s="65"/>
      <c r="RCM23" s="65"/>
      <c r="RCN23" s="65"/>
      <c r="RCO23" s="65"/>
      <c r="RCP23" s="65"/>
      <c r="RCQ23" s="65"/>
      <c r="RCR23" s="65"/>
      <c r="RCS23" s="65"/>
      <c r="RCT23" s="65"/>
      <c r="RCU23" s="65"/>
      <c r="RCV23" s="65"/>
      <c r="RCW23" s="65"/>
      <c r="RCX23" s="65"/>
      <c r="RCY23" s="65"/>
      <c r="RCZ23" s="65"/>
      <c r="RDA23" s="65"/>
      <c r="RDB23" s="65"/>
      <c r="RDC23" s="65"/>
      <c r="RDD23" s="65"/>
      <c r="RDE23" s="65"/>
      <c r="RDF23" s="65"/>
      <c r="RDG23" s="65"/>
      <c r="RDH23" s="65"/>
      <c r="RDI23" s="65"/>
      <c r="RDJ23" s="65"/>
      <c r="RDK23" s="65"/>
      <c r="RDL23" s="65"/>
      <c r="RDM23" s="65"/>
      <c r="RDN23" s="65"/>
      <c r="RDO23" s="65"/>
      <c r="RDP23" s="65"/>
      <c r="RDQ23" s="65"/>
      <c r="RDR23" s="65"/>
      <c r="RDS23" s="65"/>
      <c r="RDT23" s="65"/>
      <c r="RDU23" s="65"/>
      <c r="RDV23" s="65"/>
      <c r="RDW23" s="65"/>
      <c r="RDX23" s="65"/>
      <c r="RDY23" s="65"/>
      <c r="RDZ23" s="65"/>
      <c r="REA23" s="65"/>
      <c r="REB23" s="65"/>
      <c r="REC23" s="65"/>
      <c r="RED23" s="65"/>
      <c r="REE23" s="65"/>
      <c r="REF23" s="65"/>
      <c r="REG23" s="65"/>
      <c r="REH23" s="65"/>
      <c r="REI23" s="65"/>
      <c r="REJ23" s="65"/>
      <c r="REK23" s="65"/>
      <c r="REL23" s="65"/>
      <c r="REM23" s="65"/>
      <c r="REN23" s="65"/>
      <c r="REO23" s="65"/>
      <c r="REP23" s="65"/>
      <c r="REQ23" s="65"/>
      <c r="RER23" s="65"/>
      <c r="RES23" s="65"/>
      <c r="RET23" s="65"/>
      <c r="REU23" s="65"/>
      <c r="REV23" s="65"/>
      <c r="REW23" s="65"/>
      <c r="REX23" s="65"/>
      <c r="REY23" s="65"/>
      <c r="REZ23" s="65"/>
      <c r="RFA23" s="65"/>
      <c r="RFB23" s="65"/>
      <c r="RFC23" s="65"/>
      <c r="RFD23" s="65"/>
      <c r="RFE23" s="65"/>
      <c r="RFF23" s="65"/>
      <c r="RFG23" s="65"/>
      <c r="RFH23" s="65"/>
      <c r="RFI23" s="65"/>
      <c r="RFJ23" s="65"/>
      <c r="RFK23" s="65"/>
      <c r="RFL23" s="65"/>
      <c r="RFM23" s="65"/>
      <c r="RFN23" s="65"/>
      <c r="RFO23" s="65"/>
      <c r="RFP23" s="65"/>
      <c r="RFQ23" s="65"/>
      <c r="RFR23" s="65"/>
      <c r="RFS23" s="65"/>
      <c r="RFT23" s="65"/>
      <c r="RFU23" s="65"/>
      <c r="RFV23" s="65"/>
      <c r="RFW23" s="65"/>
      <c r="RFX23" s="65"/>
      <c r="RFY23" s="65"/>
      <c r="RFZ23" s="65"/>
      <c r="RGA23" s="65"/>
      <c r="RGB23" s="65"/>
      <c r="RGC23" s="65"/>
      <c r="RGD23" s="65"/>
      <c r="RGE23" s="65"/>
      <c r="RGF23" s="65"/>
      <c r="RGG23" s="65"/>
      <c r="RGH23" s="65"/>
      <c r="RGI23" s="65"/>
      <c r="RGJ23" s="65"/>
      <c r="RGK23" s="65"/>
      <c r="RGL23" s="65"/>
      <c r="RGM23" s="65"/>
      <c r="RGN23" s="65"/>
      <c r="RGO23" s="65"/>
      <c r="RGP23" s="65"/>
      <c r="RGQ23" s="65"/>
      <c r="RGR23" s="65"/>
      <c r="RGS23" s="65"/>
      <c r="RGT23" s="65"/>
      <c r="RGU23" s="65"/>
      <c r="RGV23" s="65"/>
      <c r="RGW23" s="65"/>
      <c r="RGX23" s="65"/>
      <c r="RGY23" s="65"/>
      <c r="RGZ23" s="65"/>
      <c r="RHA23" s="65"/>
      <c r="RHB23" s="65"/>
      <c r="RHC23" s="65"/>
      <c r="RHD23" s="65"/>
      <c r="RHE23" s="65"/>
      <c r="RHF23" s="65"/>
      <c r="RHG23" s="65"/>
      <c r="RHH23" s="65"/>
      <c r="RHI23" s="65"/>
      <c r="RHJ23" s="65"/>
      <c r="RHK23" s="65"/>
      <c r="RHL23" s="65"/>
      <c r="RHM23" s="65"/>
      <c r="RHN23" s="65"/>
      <c r="RHO23" s="65"/>
      <c r="RHP23" s="65"/>
      <c r="RHQ23" s="65"/>
      <c r="RHR23" s="65"/>
      <c r="RHS23" s="65"/>
      <c r="RHT23" s="65"/>
      <c r="RHU23" s="65"/>
      <c r="RHV23" s="65"/>
      <c r="RHW23" s="65"/>
      <c r="RHX23" s="65"/>
      <c r="RHY23" s="65"/>
      <c r="RHZ23" s="65"/>
      <c r="RIA23" s="65"/>
      <c r="RIB23" s="65"/>
      <c r="RIC23" s="65"/>
      <c r="RID23" s="65"/>
      <c r="RIE23" s="65"/>
      <c r="RIF23" s="65"/>
      <c r="RIG23" s="65"/>
      <c r="RIH23" s="65"/>
      <c r="RII23" s="65"/>
      <c r="RIJ23" s="65"/>
      <c r="RIK23" s="65"/>
      <c r="RIL23" s="65"/>
      <c r="RIM23" s="65"/>
      <c r="RIN23" s="65"/>
      <c r="RIO23" s="65"/>
      <c r="RIP23" s="65"/>
      <c r="RIQ23" s="65"/>
      <c r="RIR23" s="65"/>
      <c r="RIS23" s="65"/>
      <c r="RIT23" s="65"/>
      <c r="RIU23" s="65"/>
      <c r="RIV23" s="65"/>
      <c r="RIW23" s="65"/>
      <c r="RIX23" s="65"/>
      <c r="RIY23" s="65"/>
      <c r="RIZ23" s="65"/>
      <c r="RJA23" s="65"/>
      <c r="RJB23" s="65"/>
      <c r="RJC23" s="65"/>
      <c r="RJD23" s="65"/>
      <c r="RJE23" s="65"/>
      <c r="RJF23" s="65"/>
      <c r="RJG23" s="65"/>
      <c r="RJH23" s="65"/>
      <c r="RJI23" s="65"/>
      <c r="RJJ23" s="65"/>
      <c r="RJK23" s="65"/>
      <c r="RJL23" s="65"/>
      <c r="RJM23" s="65"/>
      <c r="RJN23" s="65"/>
      <c r="RJO23" s="65"/>
      <c r="RJP23" s="65"/>
      <c r="RJQ23" s="65"/>
      <c r="RJR23" s="65"/>
      <c r="RJS23" s="65"/>
      <c r="RJT23" s="65"/>
      <c r="RJU23" s="65"/>
      <c r="RJV23" s="65"/>
      <c r="RJW23" s="65"/>
      <c r="RJX23" s="65"/>
      <c r="RJY23" s="65"/>
      <c r="RJZ23" s="65"/>
      <c r="RKA23" s="65"/>
      <c r="RKB23" s="65"/>
      <c r="RKC23" s="65"/>
      <c r="RKD23" s="65"/>
      <c r="RKE23" s="65"/>
      <c r="RKF23" s="65"/>
      <c r="RKG23" s="65"/>
      <c r="RKH23" s="65"/>
      <c r="RKI23" s="65"/>
      <c r="RKJ23" s="65"/>
      <c r="RKK23" s="65"/>
      <c r="RKL23" s="65"/>
      <c r="RKM23" s="65"/>
      <c r="RKN23" s="65"/>
      <c r="RKO23" s="65"/>
      <c r="RKP23" s="65"/>
      <c r="RKQ23" s="65"/>
      <c r="RKR23" s="65"/>
      <c r="RKS23" s="65"/>
      <c r="RKT23" s="65"/>
      <c r="RKU23" s="65"/>
      <c r="RKV23" s="65"/>
      <c r="RKW23" s="65"/>
      <c r="RKX23" s="65"/>
      <c r="RKY23" s="65"/>
      <c r="RKZ23" s="65"/>
      <c r="RLA23" s="65"/>
      <c r="RLB23" s="65"/>
      <c r="RLC23" s="65"/>
      <c r="RLD23" s="65"/>
      <c r="RLE23" s="65"/>
      <c r="RLF23" s="65"/>
      <c r="RLG23" s="65"/>
      <c r="RLH23" s="65"/>
      <c r="RLI23" s="65"/>
      <c r="RLJ23" s="65"/>
      <c r="RLK23" s="65"/>
      <c r="RLL23" s="65"/>
      <c r="RLM23" s="65"/>
      <c r="RLN23" s="65"/>
      <c r="RLO23" s="65"/>
      <c r="RLP23" s="65"/>
      <c r="RLQ23" s="65"/>
      <c r="RLR23" s="65"/>
      <c r="RLS23" s="65"/>
      <c r="RLT23" s="65"/>
      <c r="RLU23" s="65"/>
      <c r="RLV23" s="65"/>
      <c r="RLW23" s="65"/>
      <c r="RLX23" s="65"/>
      <c r="RLY23" s="65"/>
      <c r="RLZ23" s="65"/>
      <c r="RMA23" s="65"/>
      <c r="RMB23" s="65"/>
      <c r="RMC23" s="65"/>
      <c r="RMD23" s="65"/>
      <c r="RME23" s="65"/>
      <c r="RMF23" s="65"/>
      <c r="RMG23" s="65"/>
      <c r="RMH23" s="65"/>
      <c r="RMI23" s="65"/>
      <c r="RMJ23" s="65"/>
      <c r="RMK23" s="65"/>
      <c r="RML23" s="65"/>
      <c r="RMM23" s="65"/>
      <c r="RMN23" s="65"/>
      <c r="RMO23" s="65"/>
      <c r="RMP23" s="65"/>
      <c r="RMQ23" s="65"/>
      <c r="RMR23" s="65"/>
      <c r="RMS23" s="65"/>
      <c r="RMT23" s="65"/>
      <c r="RMU23" s="65"/>
      <c r="RMV23" s="65"/>
      <c r="RMW23" s="65"/>
      <c r="RMX23" s="65"/>
      <c r="RMY23" s="65"/>
      <c r="RMZ23" s="65"/>
      <c r="RNA23" s="65"/>
      <c r="RNB23" s="65"/>
      <c r="RNC23" s="65"/>
      <c r="RND23" s="65"/>
      <c r="RNE23" s="65"/>
      <c r="RNF23" s="65"/>
      <c r="RNG23" s="65"/>
      <c r="RNH23" s="65"/>
      <c r="RNI23" s="65"/>
      <c r="RNJ23" s="65"/>
      <c r="RNK23" s="65"/>
      <c r="RNL23" s="65"/>
      <c r="RNM23" s="65"/>
      <c r="RNN23" s="65"/>
      <c r="RNO23" s="65"/>
      <c r="RNP23" s="65"/>
      <c r="RNQ23" s="65"/>
      <c r="RNR23" s="65"/>
      <c r="RNS23" s="65"/>
      <c r="RNT23" s="65"/>
      <c r="RNU23" s="65"/>
      <c r="RNV23" s="65"/>
      <c r="RNW23" s="65"/>
      <c r="RNX23" s="65"/>
      <c r="RNY23" s="65"/>
      <c r="RNZ23" s="65"/>
      <c r="ROA23" s="65"/>
      <c r="ROB23" s="65"/>
      <c r="ROC23" s="65"/>
      <c r="ROD23" s="65"/>
      <c r="ROE23" s="65"/>
      <c r="ROF23" s="65"/>
      <c r="ROG23" s="65"/>
      <c r="ROH23" s="65"/>
      <c r="ROI23" s="65"/>
      <c r="ROJ23" s="65"/>
      <c r="ROK23" s="65"/>
      <c r="ROL23" s="65"/>
      <c r="ROM23" s="65"/>
      <c r="RON23" s="65"/>
      <c r="ROO23" s="65"/>
      <c r="ROP23" s="65"/>
      <c r="ROQ23" s="65"/>
      <c r="ROR23" s="65"/>
      <c r="ROS23" s="65"/>
      <c r="ROT23" s="65"/>
      <c r="ROU23" s="65"/>
      <c r="ROV23" s="65"/>
      <c r="ROW23" s="65"/>
      <c r="ROX23" s="65"/>
      <c r="ROY23" s="65"/>
      <c r="ROZ23" s="65"/>
      <c r="RPA23" s="65"/>
      <c r="RPB23" s="65"/>
      <c r="RPC23" s="65"/>
      <c r="RPD23" s="65"/>
      <c r="RPE23" s="65"/>
      <c r="RPF23" s="65"/>
      <c r="RPG23" s="65"/>
      <c r="RPH23" s="65"/>
      <c r="RPI23" s="65"/>
      <c r="RPJ23" s="65"/>
      <c r="RPK23" s="65"/>
      <c r="RPL23" s="65"/>
      <c r="RPM23" s="65"/>
      <c r="RPN23" s="65"/>
      <c r="RPO23" s="65"/>
      <c r="RPP23" s="65"/>
      <c r="RPQ23" s="65"/>
      <c r="RPR23" s="65"/>
      <c r="RPS23" s="65"/>
      <c r="RPT23" s="65"/>
      <c r="RPU23" s="65"/>
      <c r="RPV23" s="65"/>
      <c r="RPW23" s="65"/>
      <c r="RPX23" s="65"/>
      <c r="RPY23" s="65"/>
      <c r="RPZ23" s="65"/>
      <c r="RQA23" s="65"/>
      <c r="RQB23" s="65"/>
      <c r="RQC23" s="65"/>
      <c r="RQD23" s="65"/>
      <c r="RQE23" s="65"/>
      <c r="RQF23" s="65"/>
      <c r="RQG23" s="65"/>
      <c r="RQH23" s="65"/>
      <c r="RQI23" s="65"/>
      <c r="RQJ23" s="65"/>
      <c r="RQK23" s="65"/>
      <c r="RQL23" s="65"/>
      <c r="RQM23" s="65"/>
      <c r="RQN23" s="65"/>
      <c r="RQO23" s="65"/>
      <c r="RQP23" s="65"/>
      <c r="RQQ23" s="65"/>
      <c r="RQR23" s="65"/>
      <c r="RQS23" s="65"/>
      <c r="RQT23" s="65"/>
      <c r="RQU23" s="65"/>
      <c r="RQV23" s="65"/>
      <c r="RQW23" s="65"/>
      <c r="RQX23" s="65"/>
      <c r="RQY23" s="65"/>
      <c r="RQZ23" s="65"/>
      <c r="RRA23" s="65"/>
      <c r="RRB23" s="65"/>
      <c r="RRC23" s="65"/>
      <c r="RRD23" s="65"/>
      <c r="RRE23" s="65"/>
      <c r="RRF23" s="65"/>
      <c r="RRG23" s="65"/>
      <c r="RRH23" s="65"/>
      <c r="RRI23" s="65"/>
      <c r="RRJ23" s="65"/>
      <c r="RRK23" s="65"/>
      <c r="RRL23" s="65"/>
      <c r="RRM23" s="65"/>
      <c r="RRN23" s="65"/>
      <c r="RRO23" s="65"/>
      <c r="RRP23" s="65"/>
      <c r="RRQ23" s="65"/>
      <c r="RRR23" s="65"/>
      <c r="RRS23" s="65"/>
      <c r="RRT23" s="65"/>
      <c r="RRU23" s="65"/>
      <c r="RRV23" s="65"/>
      <c r="RRW23" s="65"/>
      <c r="RRX23" s="65"/>
      <c r="RRY23" s="65"/>
      <c r="RRZ23" s="65"/>
      <c r="RSA23" s="65"/>
      <c r="RSB23" s="65"/>
      <c r="RSC23" s="65"/>
      <c r="RSD23" s="65"/>
      <c r="RSE23" s="65"/>
      <c r="RSF23" s="65"/>
      <c r="RSG23" s="65"/>
      <c r="RSH23" s="65"/>
      <c r="RSI23" s="65"/>
      <c r="RSJ23" s="65"/>
      <c r="RSK23" s="65"/>
      <c r="RSL23" s="65"/>
      <c r="RSM23" s="65"/>
      <c r="RSN23" s="65"/>
      <c r="RSO23" s="65"/>
      <c r="RSP23" s="65"/>
      <c r="RSQ23" s="65"/>
      <c r="RSR23" s="65"/>
      <c r="RSS23" s="65"/>
      <c r="RST23" s="65"/>
      <c r="RSU23" s="65"/>
      <c r="RSV23" s="65"/>
      <c r="RSW23" s="65"/>
      <c r="RSX23" s="65"/>
      <c r="RSY23" s="65"/>
      <c r="RSZ23" s="65"/>
      <c r="RTA23" s="65"/>
      <c r="RTB23" s="65"/>
      <c r="RTC23" s="65"/>
      <c r="RTD23" s="65"/>
      <c r="RTE23" s="65"/>
      <c r="RTF23" s="65"/>
      <c r="RTG23" s="65"/>
      <c r="RTH23" s="65"/>
      <c r="RTI23" s="65"/>
      <c r="RTJ23" s="65"/>
      <c r="RTK23" s="65"/>
      <c r="RTL23" s="65"/>
      <c r="RTM23" s="65"/>
      <c r="RTN23" s="65"/>
      <c r="RTO23" s="65"/>
      <c r="RTP23" s="65"/>
      <c r="RTQ23" s="65"/>
      <c r="RTR23" s="65"/>
      <c r="RTS23" s="65"/>
      <c r="RTT23" s="65"/>
      <c r="RTU23" s="65"/>
      <c r="RTV23" s="65"/>
      <c r="RTW23" s="65"/>
      <c r="RTX23" s="65"/>
      <c r="RTY23" s="65"/>
      <c r="RTZ23" s="65"/>
      <c r="RUA23" s="65"/>
      <c r="RUB23" s="65"/>
      <c r="RUC23" s="65"/>
      <c r="RUD23" s="65"/>
      <c r="RUE23" s="65"/>
      <c r="RUF23" s="65"/>
      <c r="RUG23" s="65"/>
      <c r="RUH23" s="65"/>
      <c r="RUI23" s="65"/>
      <c r="RUJ23" s="65"/>
      <c r="RUK23" s="65"/>
      <c r="RUL23" s="65"/>
      <c r="RUM23" s="65"/>
      <c r="RUN23" s="65"/>
      <c r="RUO23" s="65"/>
      <c r="RUP23" s="65"/>
      <c r="RUQ23" s="65"/>
      <c r="RUR23" s="65"/>
      <c r="RUS23" s="65"/>
      <c r="RUT23" s="65"/>
      <c r="RUU23" s="65"/>
      <c r="RUV23" s="65"/>
      <c r="RUW23" s="65"/>
      <c r="RUX23" s="65"/>
      <c r="RUY23" s="65"/>
      <c r="RUZ23" s="65"/>
      <c r="RVA23" s="65"/>
      <c r="RVB23" s="65"/>
      <c r="RVC23" s="65"/>
      <c r="RVD23" s="65"/>
      <c r="RVE23" s="65"/>
      <c r="RVF23" s="65"/>
      <c r="RVG23" s="65"/>
      <c r="RVH23" s="65"/>
      <c r="RVI23" s="65"/>
      <c r="RVJ23" s="65"/>
      <c r="RVK23" s="65"/>
      <c r="RVL23" s="65"/>
      <c r="RVM23" s="65"/>
      <c r="RVN23" s="65"/>
      <c r="RVO23" s="65"/>
      <c r="RVP23" s="65"/>
      <c r="RVQ23" s="65"/>
      <c r="RVR23" s="65"/>
      <c r="RVS23" s="65"/>
      <c r="RVT23" s="65"/>
      <c r="RVU23" s="65"/>
      <c r="RVV23" s="65"/>
      <c r="RVW23" s="65"/>
      <c r="RVX23" s="65"/>
      <c r="RVY23" s="65"/>
      <c r="RVZ23" s="65"/>
      <c r="RWA23" s="65"/>
      <c r="RWB23" s="65"/>
      <c r="RWC23" s="65"/>
      <c r="RWD23" s="65"/>
      <c r="RWE23" s="65"/>
      <c r="RWF23" s="65"/>
      <c r="RWG23" s="65"/>
      <c r="RWH23" s="65"/>
      <c r="RWI23" s="65"/>
      <c r="RWJ23" s="65"/>
      <c r="RWK23" s="65"/>
      <c r="RWL23" s="65"/>
      <c r="RWM23" s="65"/>
      <c r="RWN23" s="65"/>
      <c r="RWO23" s="65"/>
      <c r="RWP23" s="65"/>
      <c r="RWQ23" s="65"/>
      <c r="RWR23" s="65"/>
      <c r="RWS23" s="65"/>
      <c r="RWT23" s="65"/>
      <c r="RWU23" s="65"/>
      <c r="RWV23" s="65"/>
      <c r="RWW23" s="65"/>
      <c r="RWX23" s="65"/>
      <c r="RWY23" s="65"/>
      <c r="RWZ23" s="65"/>
      <c r="RXA23" s="65"/>
      <c r="RXB23" s="65"/>
      <c r="RXC23" s="65"/>
      <c r="RXD23" s="65"/>
      <c r="RXE23" s="65"/>
      <c r="RXF23" s="65"/>
      <c r="RXG23" s="65"/>
      <c r="RXH23" s="65"/>
      <c r="RXI23" s="65"/>
      <c r="RXJ23" s="65"/>
      <c r="RXK23" s="65"/>
      <c r="RXL23" s="65"/>
      <c r="RXM23" s="65"/>
      <c r="RXN23" s="65"/>
      <c r="RXO23" s="65"/>
      <c r="RXP23" s="65"/>
      <c r="RXQ23" s="65"/>
      <c r="RXR23" s="65"/>
      <c r="RXS23" s="65"/>
      <c r="RXT23" s="65"/>
      <c r="RXU23" s="65"/>
      <c r="RXV23" s="65"/>
      <c r="RXW23" s="65"/>
      <c r="RXX23" s="65"/>
      <c r="RXY23" s="65"/>
      <c r="RXZ23" s="65"/>
      <c r="RYA23" s="65"/>
      <c r="RYB23" s="65"/>
      <c r="RYC23" s="65"/>
      <c r="RYD23" s="65"/>
      <c r="RYE23" s="65"/>
      <c r="RYF23" s="65"/>
      <c r="RYG23" s="65"/>
      <c r="RYH23" s="65"/>
      <c r="RYI23" s="65"/>
      <c r="RYJ23" s="65"/>
      <c r="RYK23" s="65"/>
      <c r="RYL23" s="65"/>
      <c r="RYM23" s="65"/>
      <c r="RYN23" s="65"/>
      <c r="RYO23" s="65"/>
      <c r="RYP23" s="65"/>
      <c r="RYQ23" s="65"/>
      <c r="RYR23" s="65"/>
      <c r="RYS23" s="65"/>
      <c r="RYT23" s="65"/>
      <c r="RYU23" s="65"/>
      <c r="RYV23" s="65"/>
      <c r="RYW23" s="65"/>
      <c r="RYX23" s="65"/>
      <c r="RYY23" s="65"/>
      <c r="RYZ23" s="65"/>
      <c r="RZA23" s="65"/>
      <c r="RZB23" s="65"/>
      <c r="RZC23" s="65"/>
      <c r="RZD23" s="65"/>
      <c r="RZE23" s="65"/>
      <c r="RZF23" s="65"/>
      <c r="RZG23" s="65"/>
      <c r="RZH23" s="65"/>
      <c r="RZI23" s="65"/>
      <c r="RZJ23" s="65"/>
      <c r="RZK23" s="65"/>
      <c r="RZL23" s="65"/>
      <c r="RZM23" s="65"/>
      <c r="RZN23" s="65"/>
      <c r="RZO23" s="65"/>
      <c r="RZP23" s="65"/>
      <c r="RZQ23" s="65"/>
      <c r="RZR23" s="65"/>
      <c r="RZS23" s="65"/>
      <c r="RZT23" s="65"/>
      <c r="RZU23" s="65"/>
      <c r="RZV23" s="65"/>
      <c r="RZW23" s="65"/>
      <c r="RZX23" s="65"/>
      <c r="RZY23" s="65"/>
      <c r="RZZ23" s="65"/>
      <c r="SAA23" s="65"/>
      <c r="SAB23" s="65"/>
      <c r="SAC23" s="65"/>
      <c r="SAD23" s="65"/>
      <c r="SAE23" s="65"/>
      <c r="SAF23" s="65"/>
      <c r="SAG23" s="65"/>
      <c r="SAH23" s="65"/>
      <c r="SAI23" s="65"/>
      <c r="SAJ23" s="65"/>
      <c r="SAK23" s="65"/>
      <c r="SAL23" s="65"/>
      <c r="SAM23" s="65"/>
      <c r="SAN23" s="65"/>
      <c r="SAO23" s="65"/>
      <c r="SAP23" s="65"/>
      <c r="SAQ23" s="65"/>
      <c r="SAR23" s="65"/>
      <c r="SAS23" s="65"/>
      <c r="SAT23" s="65"/>
      <c r="SAU23" s="65"/>
      <c r="SAV23" s="65"/>
      <c r="SAW23" s="65"/>
      <c r="SAX23" s="65"/>
      <c r="SAY23" s="65"/>
      <c r="SAZ23" s="65"/>
      <c r="SBA23" s="65"/>
      <c r="SBB23" s="65"/>
      <c r="SBC23" s="65"/>
      <c r="SBD23" s="65"/>
      <c r="SBE23" s="65"/>
      <c r="SBF23" s="65"/>
      <c r="SBG23" s="65"/>
      <c r="SBH23" s="65"/>
      <c r="SBI23" s="65"/>
      <c r="SBJ23" s="65"/>
      <c r="SBK23" s="65"/>
      <c r="SBL23" s="65"/>
      <c r="SBM23" s="65"/>
      <c r="SBN23" s="65"/>
      <c r="SBO23" s="65"/>
      <c r="SBP23" s="65"/>
      <c r="SBQ23" s="65"/>
      <c r="SBR23" s="65"/>
      <c r="SBS23" s="65"/>
      <c r="SBT23" s="65"/>
      <c r="SBU23" s="65"/>
      <c r="SBV23" s="65"/>
      <c r="SBW23" s="65"/>
      <c r="SBX23" s="65"/>
      <c r="SBY23" s="65"/>
      <c r="SBZ23" s="65"/>
      <c r="SCA23" s="65"/>
      <c r="SCB23" s="65"/>
      <c r="SCC23" s="65"/>
      <c r="SCD23" s="65"/>
      <c r="SCE23" s="65"/>
      <c r="SCF23" s="65"/>
      <c r="SCG23" s="65"/>
      <c r="SCH23" s="65"/>
      <c r="SCI23" s="65"/>
      <c r="SCJ23" s="65"/>
      <c r="SCK23" s="65"/>
      <c r="SCL23" s="65"/>
      <c r="SCM23" s="65"/>
      <c r="SCN23" s="65"/>
      <c r="SCO23" s="65"/>
      <c r="SCP23" s="65"/>
      <c r="SCQ23" s="65"/>
      <c r="SCR23" s="65"/>
      <c r="SCS23" s="65"/>
      <c r="SCT23" s="65"/>
      <c r="SCU23" s="65"/>
      <c r="SCV23" s="65"/>
      <c r="SCW23" s="65"/>
      <c r="SCX23" s="65"/>
      <c r="SCY23" s="65"/>
      <c r="SCZ23" s="65"/>
      <c r="SDA23" s="65"/>
      <c r="SDB23" s="65"/>
      <c r="SDC23" s="65"/>
      <c r="SDD23" s="65"/>
      <c r="SDE23" s="65"/>
      <c r="SDF23" s="65"/>
      <c r="SDG23" s="65"/>
      <c r="SDH23" s="65"/>
      <c r="SDI23" s="65"/>
      <c r="SDJ23" s="65"/>
      <c r="SDK23" s="65"/>
      <c r="SDL23" s="65"/>
      <c r="SDM23" s="65"/>
      <c r="SDN23" s="65"/>
      <c r="SDO23" s="65"/>
      <c r="SDP23" s="65"/>
      <c r="SDQ23" s="65"/>
      <c r="SDR23" s="65"/>
      <c r="SDS23" s="65"/>
      <c r="SDT23" s="65"/>
      <c r="SDU23" s="65"/>
      <c r="SDV23" s="65"/>
      <c r="SDW23" s="65"/>
      <c r="SDX23" s="65"/>
      <c r="SDY23" s="65"/>
      <c r="SDZ23" s="65"/>
      <c r="SEA23" s="65"/>
      <c r="SEB23" s="65"/>
      <c r="SEC23" s="65"/>
      <c r="SED23" s="65"/>
      <c r="SEE23" s="65"/>
      <c r="SEF23" s="65"/>
      <c r="SEG23" s="65"/>
      <c r="SEH23" s="65"/>
      <c r="SEI23" s="65"/>
      <c r="SEJ23" s="65"/>
      <c r="SEK23" s="65"/>
      <c r="SEL23" s="65"/>
      <c r="SEM23" s="65"/>
      <c r="SEN23" s="65"/>
      <c r="SEO23" s="65"/>
      <c r="SEP23" s="65"/>
      <c r="SEQ23" s="65"/>
      <c r="SER23" s="65"/>
      <c r="SES23" s="65"/>
      <c r="SET23" s="65"/>
      <c r="SEU23" s="65"/>
      <c r="SEV23" s="65"/>
      <c r="SEW23" s="65"/>
      <c r="SEX23" s="65"/>
      <c r="SEY23" s="65"/>
      <c r="SEZ23" s="65"/>
      <c r="SFA23" s="65"/>
      <c r="SFB23" s="65"/>
      <c r="SFC23" s="65"/>
      <c r="SFD23" s="65"/>
      <c r="SFE23" s="65"/>
      <c r="SFF23" s="65"/>
      <c r="SFG23" s="65"/>
      <c r="SFH23" s="65"/>
      <c r="SFI23" s="65"/>
      <c r="SFJ23" s="65"/>
      <c r="SFK23" s="65"/>
      <c r="SFL23" s="65"/>
      <c r="SFM23" s="65"/>
      <c r="SFN23" s="65"/>
      <c r="SFO23" s="65"/>
      <c r="SFP23" s="65"/>
      <c r="SFQ23" s="65"/>
      <c r="SFR23" s="65"/>
      <c r="SFS23" s="65"/>
      <c r="SFT23" s="65"/>
      <c r="SFU23" s="65"/>
      <c r="SFV23" s="65"/>
      <c r="SFW23" s="65"/>
      <c r="SFX23" s="65"/>
      <c r="SFY23" s="65"/>
      <c r="SFZ23" s="65"/>
      <c r="SGA23" s="65"/>
      <c r="SGB23" s="65"/>
      <c r="SGC23" s="65"/>
      <c r="SGD23" s="65"/>
      <c r="SGE23" s="65"/>
      <c r="SGF23" s="65"/>
      <c r="SGG23" s="65"/>
      <c r="SGH23" s="65"/>
      <c r="SGI23" s="65"/>
      <c r="SGJ23" s="65"/>
      <c r="SGK23" s="65"/>
      <c r="SGL23" s="65"/>
      <c r="SGM23" s="65"/>
      <c r="SGN23" s="65"/>
      <c r="SGO23" s="65"/>
      <c r="SGP23" s="65"/>
      <c r="SGQ23" s="65"/>
      <c r="SGR23" s="65"/>
      <c r="SGS23" s="65"/>
      <c r="SGT23" s="65"/>
      <c r="SGU23" s="65"/>
      <c r="SGV23" s="65"/>
      <c r="SGW23" s="65"/>
      <c r="SGX23" s="65"/>
      <c r="SGY23" s="65"/>
      <c r="SGZ23" s="65"/>
      <c r="SHA23" s="65"/>
      <c r="SHB23" s="65"/>
      <c r="SHC23" s="65"/>
      <c r="SHD23" s="65"/>
      <c r="SHE23" s="65"/>
      <c r="SHF23" s="65"/>
      <c r="SHG23" s="65"/>
      <c r="SHH23" s="65"/>
      <c r="SHI23" s="65"/>
      <c r="SHJ23" s="65"/>
      <c r="SHK23" s="65"/>
      <c r="SHL23" s="65"/>
      <c r="SHM23" s="65"/>
      <c r="SHN23" s="65"/>
      <c r="SHO23" s="65"/>
      <c r="SHP23" s="65"/>
      <c r="SHQ23" s="65"/>
      <c r="SHR23" s="65"/>
      <c r="SHS23" s="65"/>
      <c r="SHT23" s="65"/>
      <c r="SHU23" s="65"/>
      <c r="SHV23" s="65"/>
      <c r="SHW23" s="65"/>
      <c r="SHX23" s="65"/>
      <c r="SHY23" s="65"/>
      <c r="SHZ23" s="65"/>
      <c r="SIA23" s="65"/>
      <c r="SIB23" s="65"/>
      <c r="SIC23" s="65"/>
      <c r="SID23" s="65"/>
      <c r="SIE23" s="65"/>
      <c r="SIF23" s="65"/>
      <c r="SIG23" s="65"/>
      <c r="SIH23" s="65"/>
      <c r="SII23" s="65"/>
      <c r="SIJ23" s="65"/>
      <c r="SIK23" s="65"/>
      <c r="SIL23" s="65"/>
      <c r="SIM23" s="65"/>
      <c r="SIN23" s="65"/>
      <c r="SIO23" s="65"/>
      <c r="SIP23" s="65"/>
      <c r="SIQ23" s="65"/>
      <c r="SIR23" s="65"/>
      <c r="SIS23" s="65"/>
      <c r="SIT23" s="65"/>
      <c r="SIU23" s="65"/>
      <c r="SIV23" s="65"/>
      <c r="SIW23" s="65"/>
      <c r="SIX23" s="65"/>
      <c r="SIY23" s="65"/>
      <c r="SIZ23" s="65"/>
      <c r="SJA23" s="65"/>
      <c r="SJB23" s="65"/>
      <c r="SJC23" s="65"/>
      <c r="SJD23" s="65"/>
      <c r="SJE23" s="65"/>
      <c r="SJF23" s="65"/>
      <c r="SJG23" s="65"/>
      <c r="SJH23" s="65"/>
      <c r="SJI23" s="65"/>
      <c r="SJJ23" s="65"/>
      <c r="SJK23" s="65"/>
      <c r="SJL23" s="65"/>
      <c r="SJM23" s="65"/>
      <c r="SJN23" s="65"/>
      <c r="SJO23" s="65"/>
      <c r="SJP23" s="65"/>
      <c r="SJQ23" s="65"/>
      <c r="SJR23" s="65"/>
      <c r="SJS23" s="65"/>
      <c r="SJT23" s="65"/>
      <c r="SJU23" s="65"/>
      <c r="SJV23" s="65"/>
      <c r="SJW23" s="65"/>
      <c r="SJX23" s="65"/>
      <c r="SJY23" s="65"/>
      <c r="SJZ23" s="65"/>
      <c r="SKA23" s="65"/>
      <c r="SKB23" s="65"/>
      <c r="SKC23" s="65"/>
      <c r="SKD23" s="65"/>
      <c r="SKE23" s="65"/>
      <c r="SKF23" s="65"/>
      <c r="SKG23" s="65"/>
      <c r="SKH23" s="65"/>
      <c r="SKI23" s="65"/>
      <c r="SKJ23" s="65"/>
      <c r="SKK23" s="65"/>
      <c r="SKL23" s="65"/>
      <c r="SKM23" s="65"/>
      <c r="SKN23" s="65"/>
      <c r="SKO23" s="65"/>
      <c r="SKP23" s="65"/>
      <c r="SKQ23" s="65"/>
      <c r="SKR23" s="65"/>
      <c r="SKS23" s="65"/>
      <c r="SKT23" s="65"/>
      <c r="SKU23" s="65"/>
      <c r="SKV23" s="65"/>
      <c r="SKW23" s="65"/>
      <c r="SKX23" s="65"/>
      <c r="SKY23" s="65"/>
      <c r="SKZ23" s="65"/>
      <c r="SLA23" s="65"/>
      <c r="SLB23" s="65"/>
      <c r="SLC23" s="65"/>
      <c r="SLD23" s="65"/>
      <c r="SLE23" s="65"/>
      <c r="SLF23" s="65"/>
      <c r="SLG23" s="65"/>
      <c r="SLH23" s="65"/>
      <c r="SLI23" s="65"/>
      <c r="SLJ23" s="65"/>
      <c r="SLK23" s="65"/>
      <c r="SLL23" s="65"/>
      <c r="SLM23" s="65"/>
      <c r="SLN23" s="65"/>
      <c r="SLO23" s="65"/>
      <c r="SLP23" s="65"/>
      <c r="SLQ23" s="65"/>
      <c r="SLR23" s="65"/>
      <c r="SLS23" s="65"/>
      <c r="SLT23" s="65"/>
      <c r="SLU23" s="65"/>
      <c r="SLV23" s="65"/>
      <c r="SLW23" s="65"/>
      <c r="SLX23" s="65"/>
      <c r="SLY23" s="65"/>
      <c r="SLZ23" s="65"/>
      <c r="SMA23" s="65"/>
      <c r="SMB23" s="65"/>
      <c r="SMC23" s="65"/>
      <c r="SMD23" s="65"/>
      <c r="SME23" s="65"/>
      <c r="SMF23" s="65"/>
      <c r="SMG23" s="65"/>
      <c r="SMH23" s="65"/>
      <c r="SMI23" s="65"/>
      <c r="SMJ23" s="65"/>
      <c r="SMK23" s="65"/>
      <c r="SML23" s="65"/>
      <c r="SMM23" s="65"/>
      <c r="SMN23" s="65"/>
      <c r="SMO23" s="65"/>
      <c r="SMP23" s="65"/>
      <c r="SMQ23" s="65"/>
      <c r="SMR23" s="65"/>
      <c r="SMS23" s="65"/>
      <c r="SMT23" s="65"/>
      <c r="SMU23" s="65"/>
      <c r="SMV23" s="65"/>
      <c r="SMW23" s="65"/>
      <c r="SMX23" s="65"/>
      <c r="SMY23" s="65"/>
      <c r="SMZ23" s="65"/>
      <c r="SNA23" s="65"/>
      <c r="SNB23" s="65"/>
      <c r="SNC23" s="65"/>
      <c r="SND23" s="65"/>
      <c r="SNE23" s="65"/>
      <c r="SNF23" s="65"/>
      <c r="SNG23" s="65"/>
      <c r="SNH23" s="65"/>
      <c r="SNI23" s="65"/>
      <c r="SNJ23" s="65"/>
      <c r="SNK23" s="65"/>
      <c r="SNL23" s="65"/>
      <c r="SNM23" s="65"/>
      <c r="SNN23" s="65"/>
      <c r="SNO23" s="65"/>
      <c r="SNP23" s="65"/>
      <c r="SNQ23" s="65"/>
      <c r="SNR23" s="65"/>
      <c r="SNS23" s="65"/>
      <c r="SNT23" s="65"/>
      <c r="SNU23" s="65"/>
      <c r="SNV23" s="65"/>
      <c r="SNW23" s="65"/>
      <c r="SNX23" s="65"/>
      <c r="SNY23" s="65"/>
      <c r="SNZ23" s="65"/>
      <c r="SOA23" s="65"/>
      <c r="SOB23" s="65"/>
      <c r="SOC23" s="65"/>
      <c r="SOD23" s="65"/>
      <c r="SOE23" s="65"/>
      <c r="SOF23" s="65"/>
      <c r="SOG23" s="65"/>
      <c r="SOH23" s="65"/>
      <c r="SOI23" s="65"/>
      <c r="SOJ23" s="65"/>
      <c r="SOK23" s="65"/>
      <c r="SOL23" s="65"/>
      <c r="SOM23" s="65"/>
      <c r="SON23" s="65"/>
      <c r="SOO23" s="65"/>
      <c r="SOP23" s="65"/>
      <c r="SOQ23" s="65"/>
      <c r="SOR23" s="65"/>
      <c r="SOS23" s="65"/>
      <c r="SOT23" s="65"/>
      <c r="SOU23" s="65"/>
      <c r="SOV23" s="65"/>
      <c r="SOW23" s="65"/>
      <c r="SOX23" s="65"/>
      <c r="SOY23" s="65"/>
      <c r="SOZ23" s="65"/>
      <c r="SPA23" s="65"/>
      <c r="SPB23" s="65"/>
      <c r="SPC23" s="65"/>
      <c r="SPD23" s="65"/>
      <c r="SPE23" s="65"/>
      <c r="SPF23" s="65"/>
      <c r="SPG23" s="65"/>
      <c r="SPH23" s="65"/>
      <c r="SPI23" s="65"/>
      <c r="SPJ23" s="65"/>
      <c r="SPK23" s="65"/>
      <c r="SPL23" s="65"/>
      <c r="SPM23" s="65"/>
      <c r="SPN23" s="65"/>
      <c r="SPO23" s="65"/>
      <c r="SPP23" s="65"/>
      <c r="SPQ23" s="65"/>
      <c r="SPR23" s="65"/>
      <c r="SPS23" s="65"/>
      <c r="SPT23" s="65"/>
      <c r="SPU23" s="65"/>
      <c r="SPV23" s="65"/>
      <c r="SPW23" s="65"/>
      <c r="SPX23" s="65"/>
      <c r="SPY23" s="65"/>
      <c r="SPZ23" s="65"/>
      <c r="SQA23" s="65"/>
      <c r="SQB23" s="65"/>
      <c r="SQC23" s="65"/>
      <c r="SQD23" s="65"/>
      <c r="SQE23" s="65"/>
      <c r="SQF23" s="65"/>
      <c r="SQG23" s="65"/>
      <c r="SQH23" s="65"/>
      <c r="SQI23" s="65"/>
      <c r="SQJ23" s="65"/>
      <c r="SQK23" s="65"/>
      <c r="SQL23" s="65"/>
      <c r="SQM23" s="65"/>
      <c r="SQN23" s="65"/>
      <c r="SQO23" s="65"/>
      <c r="SQP23" s="65"/>
      <c r="SQQ23" s="65"/>
      <c r="SQR23" s="65"/>
      <c r="SQS23" s="65"/>
      <c r="SQT23" s="65"/>
      <c r="SQU23" s="65"/>
      <c r="SQV23" s="65"/>
      <c r="SQW23" s="65"/>
      <c r="SQX23" s="65"/>
      <c r="SQY23" s="65"/>
      <c r="SQZ23" s="65"/>
      <c r="SRA23" s="65"/>
      <c r="SRB23" s="65"/>
      <c r="SRC23" s="65"/>
      <c r="SRD23" s="65"/>
      <c r="SRE23" s="65"/>
      <c r="SRF23" s="65"/>
      <c r="SRG23" s="65"/>
      <c r="SRH23" s="65"/>
      <c r="SRI23" s="65"/>
      <c r="SRJ23" s="65"/>
      <c r="SRK23" s="65"/>
      <c r="SRL23" s="65"/>
      <c r="SRM23" s="65"/>
      <c r="SRN23" s="65"/>
      <c r="SRO23" s="65"/>
      <c r="SRP23" s="65"/>
      <c r="SRQ23" s="65"/>
      <c r="SRR23" s="65"/>
      <c r="SRS23" s="65"/>
      <c r="SRT23" s="65"/>
      <c r="SRU23" s="65"/>
      <c r="SRV23" s="65"/>
      <c r="SRW23" s="65"/>
      <c r="SRX23" s="65"/>
      <c r="SRY23" s="65"/>
      <c r="SRZ23" s="65"/>
      <c r="SSA23" s="65"/>
      <c r="SSB23" s="65"/>
      <c r="SSC23" s="65"/>
      <c r="SSD23" s="65"/>
      <c r="SSE23" s="65"/>
      <c r="SSF23" s="65"/>
      <c r="SSG23" s="65"/>
      <c r="SSH23" s="65"/>
      <c r="SSI23" s="65"/>
      <c r="SSJ23" s="65"/>
      <c r="SSK23" s="65"/>
      <c r="SSL23" s="65"/>
      <c r="SSM23" s="65"/>
      <c r="SSN23" s="65"/>
      <c r="SSO23" s="65"/>
      <c r="SSP23" s="65"/>
      <c r="SSQ23" s="65"/>
      <c r="SSR23" s="65"/>
      <c r="SSS23" s="65"/>
      <c r="SST23" s="65"/>
      <c r="SSU23" s="65"/>
      <c r="SSV23" s="65"/>
      <c r="SSW23" s="65"/>
      <c r="SSX23" s="65"/>
      <c r="SSY23" s="65"/>
      <c r="SSZ23" s="65"/>
      <c r="STA23" s="65"/>
      <c r="STB23" s="65"/>
      <c r="STC23" s="65"/>
      <c r="STD23" s="65"/>
      <c r="STE23" s="65"/>
      <c r="STF23" s="65"/>
      <c r="STG23" s="65"/>
      <c r="STH23" s="65"/>
      <c r="STI23" s="65"/>
      <c r="STJ23" s="65"/>
      <c r="STK23" s="65"/>
      <c r="STL23" s="65"/>
      <c r="STM23" s="65"/>
      <c r="STN23" s="65"/>
      <c r="STO23" s="65"/>
      <c r="STP23" s="65"/>
      <c r="STQ23" s="65"/>
      <c r="STR23" s="65"/>
      <c r="STS23" s="65"/>
      <c r="STT23" s="65"/>
      <c r="STU23" s="65"/>
      <c r="STV23" s="65"/>
      <c r="STW23" s="65"/>
      <c r="STX23" s="65"/>
      <c r="STY23" s="65"/>
      <c r="STZ23" s="65"/>
      <c r="SUA23" s="65"/>
      <c r="SUB23" s="65"/>
      <c r="SUC23" s="65"/>
      <c r="SUD23" s="65"/>
      <c r="SUE23" s="65"/>
      <c r="SUF23" s="65"/>
      <c r="SUG23" s="65"/>
      <c r="SUH23" s="65"/>
      <c r="SUI23" s="65"/>
      <c r="SUJ23" s="65"/>
      <c r="SUK23" s="65"/>
      <c r="SUL23" s="65"/>
      <c r="SUM23" s="65"/>
      <c r="SUN23" s="65"/>
      <c r="SUO23" s="65"/>
      <c r="SUP23" s="65"/>
      <c r="SUQ23" s="65"/>
      <c r="SUR23" s="65"/>
      <c r="SUS23" s="65"/>
      <c r="SUT23" s="65"/>
      <c r="SUU23" s="65"/>
      <c r="SUV23" s="65"/>
      <c r="SUW23" s="65"/>
      <c r="SUX23" s="65"/>
      <c r="SUY23" s="65"/>
      <c r="SUZ23" s="65"/>
      <c r="SVA23" s="65"/>
      <c r="SVB23" s="65"/>
      <c r="SVC23" s="65"/>
      <c r="SVD23" s="65"/>
      <c r="SVE23" s="65"/>
      <c r="SVF23" s="65"/>
      <c r="SVG23" s="65"/>
      <c r="SVH23" s="65"/>
      <c r="SVI23" s="65"/>
      <c r="SVJ23" s="65"/>
      <c r="SVK23" s="65"/>
      <c r="SVL23" s="65"/>
      <c r="SVM23" s="65"/>
      <c r="SVN23" s="65"/>
      <c r="SVO23" s="65"/>
      <c r="SVP23" s="65"/>
      <c r="SVQ23" s="65"/>
      <c r="SVR23" s="65"/>
      <c r="SVS23" s="65"/>
      <c r="SVT23" s="65"/>
      <c r="SVU23" s="65"/>
      <c r="SVV23" s="65"/>
      <c r="SVW23" s="65"/>
      <c r="SVX23" s="65"/>
      <c r="SVY23" s="65"/>
      <c r="SVZ23" s="65"/>
      <c r="SWA23" s="65"/>
      <c r="SWB23" s="65"/>
      <c r="SWC23" s="65"/>
      <c r="SWD23" s="65"/>
      <c r="SWE23" s="65"/>
      <c r="SWF23" s="65"/>
      <c r="SWG23" s="65"/>
      <c r="SWH23" s="65"/>
      <c r="SWI23" s="65"/>
      <c r="SWJ23" s="65"/>
      <c r="SWK23" s="65"/>
      <c r="SWL23" s="65"/>
      <c r="SWM23" s="65"/>
      <c r="SWN23" s="65"/>
      <c r="SWO23" s="65"/>
      <c r="SWP23" s="65"/>
      <c r="SWQ23" s="65"/>
      <c r="SWR23" s="65"/>
      <c r="SWS23" s="65"/>
      <c r="SWT23" s="65"/>
      <c r="SWU23" s="65"/>
      <c r="SWV23" s="65"/>
      <c r="SWW23" s="65"/>
      <c r="SWX23" s="65"/>
      <c r="SWY23" s="65"/>
      <c r="SWZ23" s="65"/>
      <c r="SXA23" s="65"/>
      <c r="SXB23" s="65"/>
      <c r="SXC23" s="65"/>
      <c r="SXD23" s="65"/>
      <c r="SXE23" s="65"/>
      <c r="SXF23" s="65"/>
      <c r="SXG23" s="65"/>
      <c r="SXH23" s="65"/>
      <c r="SXI23" s="65"/>
      <c r="SXJ23" s="65"/>
      <c r="SXK23" s="65"/>
      <c r="SXL23" s="65"/>
      <c r="SXM23" s="65"/>
      <c r="SXN23" s="65"/>
      <c r="SXO23" s="65"/>
      <c r="SXP23" s="65"/>
      <c r="SXQ23" s="65"/>
      <c r="SXR23" s="65"/>
      <c r="SXS23" s="65"/>
      <c r="SXT23" s="65"/>
      <c r="SXU23" s="65"/>
      <c r="SXV23" s="65"/>
      <c r="SXW23" s="65"/>
      <c r="SXX23" s="65"/>
      <c r="SXY23" s="65"/>
      <c r="SXZ23" s="65"/>
      <c r="SYA23" s="65"/>
      <c r="SYB23" s="65"/>
      <c r="SYC23" s="65"/>
      <c r="SYD23" s="65"/>
      <c r="SYE23" s="65"/>
      <c r="SYF23" s="65"/>
      <c r="SYG23" s="65"/>
      <c r="SYH23" s="65"/>
      <c r="SYI23" s="65"/>
      <c r="SYJ23" s="65"/>
      <c r="SYK23" s="65"/>
      <c r="SYL23" s="65"/>
      <c r="SYM23" s="65"/>
      <c r="SYN23" s="65"/>
      <c r="SYO23" s="65"/>
      <c r="SYP23" s="65"/>
      <c r="SYQ23" s="65"/>
      <c r="SYR23" s="65"/>
      <c r="SYS23" s="65"/>
      <c r="SYT23" s="65"/>
      <c r="SYU23" s="65"/>
      <c r="SYV23" s="65"/>
      <c r="SYW23" s="65"/>
      <c r="SYX23" s="65"/>
      <c r="SYY23" s="65"/>
      <c r="SYZ23" s="65"/>
      <c r="SZA23" s="65"/>
      <c r="SZB23" s="65"/>
      <c r="SZC23" s="65"/>
      <c r="SZD23" s="65"/>
      <c r="SZE23" s="65"/>
      <c r="SZF23" s="65"/>
      <c r="SZG23" s="65"/>
      <c r="SZH23" s="65"/>
      <c r="SZI23" s="65"/>
      <c r="SZJ23" s="65"/>
      <c r="SZK23" s="65"/>
      <c r="SZL23" s="65"/>
      <c r="SZM23" s="65"/>
      <c r="SZN23" s="65"/>
      <c r="SZO23" s="65"/>
      <c r="SZP23" s="65"/>
      <c r="SZQ23" s="65"/>
      <c r="SZR23" s="65"/>
      <c r="SZS23" s="65"/>
      <c r="SZT23" s="65"/>
      <c r="SZU23" s="65"/>
      <c r="SZV23" s="65"/>
      <c r="SZW23" s="65"/>
      <c r="SZX23" s="65"/>
      <c r="SZY23" s="65"/>
      <c r="SZZ23" s="65"/>
      <c r="TAA23" s="65"/>
      <c r="TAB23" s="65"/>
      <c r="TAC23" s="65"/>
      <c r="TAD23" s="65"/>
      <c r="TAE23" s="65"/>
      <c r="TAF23" s="65"/>
      <c r="TAG23" s="65"/>
      <c r="TAH23" s="65"/>
      <c r="TAI23" s="65"/>
      <c r="TAJ23" s="65"/>
      <c r="TAK23" s="65"/>
      <c r="TAL23" s="65"/>
      <c r="TAM23" s="65"/>
      <c r="TAN23" s="65"/>
      <c r="TAO23" s="65"/>
      <c r="TAP23" s="65"/>
      <c r="TAQ23" s="65"/>
      <c r="TAR23" s="65"/>
      <c r="TAS23" s="65"/>
      <c r="TAT23" s="65"/>
      <c r="TAU23" s="65"/>
      <c r="TAV23" s="65"/>
      <c r="TAW23" s="65"/>
      <c r="TAX23" s="65"/>
      <c r="TAY23" s="65"/>
      <c r="TAZ23" s="65"/>
      <c r="TBA23" s="65"/>
      <c r="TBB23" s="65"/>
      <c r="TBC23" s="65"/>
      <c r="TBD23" s="65"/>
      <c r="TBE23" s="65"/>
      <c r="TBF23" s="65"/>
      <c r="TBG23" s="65"/>
      <c r="TBH23" s="65"/>
      <c r="TBI23" s="65"/>
      <c r="TBJ23" s="65"/>
      <c r="TBK23" s="65"/>
      <c r="TBL23" s="65"/>
      <c r="TBM23" s="65"/>
      <c r="TBN23" s="65"/>
      <c r="TBO23" s="65"/>
      <c r="TBP23" s="65"/>
      <c r="TBQ23" s="65"/>
      <c r="TBR23" s="65"/>
      <c r="TBS23" s="65"/>
      <c r="TBT23" s="65"/>
      <c r="TBU23" s="65"/>
      <c r="TBV23" s="65"/>
      <c r="TBW23" s="65"/>
      <c r="TBX23" s="65"/>
      <c r="TBY23" s="65"/>
      <c r="TBZ23" s="65"/>
      <c r="TCA23" s="65"/>
      <c r="TCB23" s="65"/>
      <c r="TCC23" s="65"/>
      <c r="TCD23" s="65"/>
      <c r="TCE23" s="65"/>
      <c r="TCF23" s="65"/>
      <c r="TCG23" s="65"/>
      <c r="TCH23" s="65"/>
      <c r="TCI23" s="65"/>
      <c r="TCJ23" s="65"/>
      <c r="TCK23" s="65"/>
      <c r="TCL23" s="65"/>
      <c r="TCM23" s="65"/>
      <c r="TCN23" s="65"/>
      <c r="TCO23" s="65"/>
      <c r="TCP23" s="65"/>
      <c r="TCQ23" s="65"/>
      <c r="TCR23" s="65"/>
      <c r="TCS23" s="65"/>
      <c r="TCT23" s="65"/>
      <c r="TCU23" s="65"/>
      <c r="TCV23" s="65"/>
      <c r="TCW23" s="65"/>
      <c r="TCX23" s="65"/>
      <c r="TCY23" s="65"/>
      <c r="TCZ23" s="65"/>
      <c r="TDA23" s="65"/>
      <c r="TDB23" s="65"/>
      <c r="TDC23" s="65"/>
      <c r="TDD23" s="65"/>
      <c r="TDE23" s="65"/>
      <c r="TDF23" s="65"/>
      <c r="TDG23" s="65"/>
      <c r="TDH23" s="65"/>
      <c r="TDI23" s="65"/>
      <c r="TDJ23" s="65"/>
      <c r="TDK23" s="65"/>
      <c r="TDL23" s="65"/>
      <c r="TDM23" s="65"/>
      <c r="TDN23" s="65"/>
      <c r="TDO23" s="65"/>
      <c r="TDP23" s="65"/>
      <c r="TDQ23" s="65"/>
      <c r="TDR23" s="65"/>
      <c r="TDS23" s="65"/>
      <c r="TDT23" s="65"/>
      <c r="TDU23" s="65"/>
      <c r="TDV23" s="65"/>
      <c r="TDW23" s="65"/>
      <c r="TDX23" s="65"/>
      <c r="TDY23" s="65"/>
      <c r="TDZ23" s="65"/>
      <c r="TEA23" s="65"/>
      <c r="TEB23" s="65"/>
      <c r="TEC23" s="65"/>
      <c r="TED23" s="65"/>
      <c r="TEE23" s="65"/>
      <c r="TEF23" s="65"/>
      <c r="TEG23" s="65"/>
      <c r="TEH23" s="65"/>
      <c r="TEI23" s="65"/>
      <c r="TEJ23" s="65"/>
      <c r="TEK23" s="65"/>
      <c r="TEL23" s="65"/>
      <c r="TEM23" s="65"/>
      <c r="TEN23" s="65"/>
      <c r="TEO23" s="65"/>
      <c r="TEP23" s="65"/>
      <c r="TEQ23" s="65"/>
      <c r="TER23" s="65"/>
      <c r="TES23" s="65"/>
      <c r="TET23" s="65"/>
      <c r="TEU23" s="65"/>
      <c r="TEV23" s="65"/>
      <c r="TEW23" s="65"/>
      <c r="TEX23" s="65"/>
      <c r="TEY23" s="65"/>
      <c r="TEZ23" s="65"/>
      <c r="TFA23" s="65"/>
      <c r="TFB23" s="65"/>
      <c r="TFC23" s="65"/>
      <c r="TFD23" s="65"/>
      <c r="TFE23" s="65"/>
      <c r="TFF23" s="65"/>
      <c r="TFG23" s="65"/>
      <c r="TFH23" s="65"/>
      <c r="TFI23" s="65"/>
      <c r="TFJ23" s="65"/>
      <c r="TFK23" s="65"/>
      <c r="TFL23" s="65"/>
      <c r="TFM23" s="65"/>
      <c r="TFN23" s="65"/>
      <c r="TFO23" s="65"/>
      <c r="TFP23" s="65"/>
      <c r="TFQ23" s="65"/>
      <c r="TFR23" s="65"/>
      <c r="TFS23" s="65"/>
      <c r="TFT23" s="65"/>
      <c r="TFU23" s="65"/>
      <c r="TFV23" s="65"/>
      <c r="TFW23" s="65"/>
      <c r="TFX23" s="65"/>
      <c r="TFY23" s="65"/>
      <c r="TFZ23" s="65"/>
      <c r="TGA23" s="65"/>
      <c r="TGB23" s="65"/>
      <c r="TGC23" s="65"/>
      <c r="TGD23" s="65"/>
      <c r="TGE23" s="65"/>
      <c r="TGF23" s="65"/>
      <c r="TGG23" s="65"/>
      <c r="TGH23" s="65"/>
      <c r="TGI23" s="65"/>
      <c r="TGJ23" s="65"/>
      <c r="TGK23" s="65"/>
      <c r="TGL23" s="65"/>
      <c r="TGM23" s="65"/>
      <c r="TGN23" s="65"/>
      <c r="TGO23" s="65"/>
      <c r="TGP23" s="65"/>
      <c r="TGQ23" s="65"/>
      <c r="TGR23" s="65"/>
      <c r="TGS23" s="65"/>
      <c r="TGT23" s="65"/>
      <c r="TGU23" s="65"/>
      <c r="TGV23" s="65"/>
      <c r="TGW23" s="65"/>
      <c r="TGX23" s="65"/>
      <c r="TGY23" s="65"/>
      <c r="TGZ23" s="65"/>
      <c r="THA23" s="65"/>
      <c r="THB23" s="65"/>
      <c r="THC23" s="65"/>
      <c r="THD23" s="65"/>
      <c r="THE23" s="65"/>
      <c r="THF23" s="65"/>
      <c r="THG23" s="65"/>
      <c r="THH23" s="65"/>
      <c r="THI23" s="65"/>
      <c r="THJ23" s="65"/>
      <c r="THK23" s="65"/>
      <c r="THL23" s="65"/>
      <c r="THM23" s="65"/>
      <c r="THN23" s="65"/>
      <c r="THO23" s="65"/>
      <c r="THP23" s="65"/>
      <c r="THQ23" s="65"/>
      <c r="THR23" s="65"/>
      <c r="THS23" s="65"/>
      <c r="THT23" s="65"/>
      <c r="THU23" s="65"/>
      <c r="THV23" s="65"/>
      <c r="THW23" s="65"/>
      <c r="THX23" s="65"/>
      <c r="THY23" s="65"/>
      <c r="THZ23" s="65"/>
      <c r="TIA23" s="65"/>
      <c r="TIB23" s="65"/>
      <c r="TIC23" s="65"/>
      <c r="TID23" s="65"/>
      <c r="TIE23" s="65"/>
      <c r="TIF23" s="65"/>
      <c r="TIG23" s="65"/>
      <c r="TIH23" s="65"/>
      <c r="TII23" s="65"/>
      <c r="TIJ23" s="65"/>
      <c r="TIK23" s="65"/>
      <c r="TIL23" s="65"/>
      <c r="TIM23" s="65"/>
      <c r="TIN23" s="65"/>
      <c r="TIO23" s="65"/>
      <c r="TIP23" s="65"/>
      <c r="TIQ23" s="65"/>
      <c r="TIR23" s="65"/>
      <c r="TIS23" s="65"/>
      <c r="TIT23" s="65"/>
      <c r="TIU23" s="65"/>
      <c r="TIV23" s="65"/>
      <c r="TIW23" s="65"/>
      <c r="TIX23" s="65"/>
      <c r="TIY23" s="65"/>
      <c r="TIZ23" s="65"/>
      <c r="TJA23" s="65"/>
      <c r="TJB23" s="65"/>
      <c r="TJC23" s="65"/>
      <c r="TJD23" s="65"/>
      <c r="TJE23" s="65"/>
      <c r="TJF23" s="65"/>
      <c r="TJG23" s="65"/>
      <c r="TJH23" s="65"/>
      <c r="TJI23" s="65"/>
      <c r="TJJ23" s="65"/>
      <c r="TJK23" s="65"/>
      <c r="TJL23" s="65"/>
      <c r="TJM23" s="65"/>
      <c r="TJN23" s="65"/>
      <c r="TJO23" s="65"/>
      <c r="TJP23" s="65"/>
      <c r="TJQ23" s="65"/>
      <c r="TJR23" s="65"/>
      <c r="TJS23" s="65"/>
      <c r="TJT23" s="65"/>
      <c r="TJU23" s="65"/>
      <c r="TJV23" s="65"/>
      <c r="TJW23" s="65"/>
      <c r="TJX23" s="65"/>
      <c r="TJY23" s="65"/>
      <c r="TJZ23" s="65"/>
      <c r="TKA23" s="65"/>
      <c r="TKB23" s="65"/>
      <c r="TKC23" s="65"/>
      <c r="TKD23" s="65"/>
      <c r="TKE23" s="65"/>
      <c r="TKF23" s="65"/>
      <c r="TKG23" s="65"/>
      <c r="TKH23" s="65"/>
      <c r="TKI23" s="65"/>
      <c r="TKJ23" s="65"/>
      <c r="TKK23" s="65"/>
      <c r="TKL23" s="65"/>
      <c r="TKM23" s="65"/>
      <c r="TKN23" s="65"/>
      <c r="TKO23" s="65"/>
      <c r="TKP23" s="65"/>
      <c r="TKQ23" s="65"/>
      <c r="TKR23" s="65"/>
      <c r="TKS23" s="65"/>
      <c r="TKT23" s="65"/>
      <c r="TKU23" s="65"/>
      <c r="TKV23" s="65"/>
      <c r="TKW23" s="65"/>
      <c r="TKX23" s="65"/>
      <c r="TKY23" s="65"/>
      <c r="TKZ23" s="65"/>
      <c r="TLA23" s="65"/>
      <c r="TLB23" s="65"/>
      <c r="TLC23" s="65"/>
      <c r="TLD23" s="65"/>
      <c r="TLE23" s="65"/>
      <c r="TLF23" s="65"/>
      <c r="TLG23" s="65"/>
      <c r="TLH23" s="65"/>
      <c r="TLI23" s="65"/>
      <c r="TLJ23" s="65"/>
      <c r="TLK23" s="65"/>
      <c r="TLL23" s="65"/>
      <c r="TLM23" s="65"/>
      <c r="TLN23" s="65"/>
      <c r="TLO23" s="65"/>
      <c r="TLP23" s="65"/>
      <c r="TLQ23" s="65"/>
      <c r="TLR23" s="65"/>
      <c r="TLS23" s="65"/>
      <c r="TLT23" s="65"/>
      <c r="TLU23" s="65"/>
      <c r="TLV23" s="65"/>
      <c r="TLW23" s="65"/>
      <c r="TLX23" s="65"/>
      <c r="TLY23" s="65"/>
      <c r="TLZ23" s="65"/>
      <c r="TMA23" s="65"/>
      <c r="TMB23" s="65"/>
      <c r="TMC23" s="65"/>
      <c r="TMD23" s="65"/>
      <c r="TME23" s="65"/>
      <c r="TMF23" s="65"/>
      <c r="TMG23" s="65"/>
      <c r="TMH23" s="65"/>
      <c r="TMI23" s="65"/>
      <c r="TMJ23" s="65"/>
      <c r="TMK23" s="65"/>
      <c r="TML23" s="65"/>
      <c r="TMM23" s="65"/>
      <c r="TMN23" s="65"/>
      <c r="TMO23" s="65"/>
      <c r="TMP23" s="65"/>
      <c r="TMQ23" s="65"/>
      <c r="TMR23" s="65"/>
      <c r="TMS23" s="65"/>
      <c r="TMT23" s="65"/>
      <c r="TMU23" s="65"/>
      <c r="TMV23" s="65"/>
      <c r="TMW23" s="65"/>
      <c r="TMX23" s="65"/>
      <c r="TMY23" s="65"/>
      <c r="TMZ23" s="65"/>
      <c r="TNA23" s="65"/>
      <c r="TNB23" s="65"/>
      <c r="TNC23" s="65"/>
      <c r="TND23" s="65"/>
      <c r="TNE23" s="65"/>
      <c r="TNF23" s="65"/>
      <c r="TNG23" s="65"/>
      <c r="TNH23" s="65"/>
      <c r="TNI23" s="65"/>
      <c r="TNJ23" s="65"/>
      <c r="TNK23" s="65"/>
      <c r="TNL23" s="65"/>
      <c r="TNM23" s="65"/>
      <c r="TNN23" s="65"/>
      <c r="TNO23" s="65"/>
      <c r="TNP23" s="65"/>
      <c r="TNQ23" s="65"/>
      <c r="TNR23" s="65"/>
      <c r="TNS23" s="65"/>
      <c r="TNT23" s="65"/>
      <c r="TNU23" s="65"/>
      <c r="TNV23" s="65"/>
      <c r="TNW23" s="65"/>
      <c r="TNX23" s="65"/>
      <c r="TNY23" s="65"/>
      <c r="TNZ23" s="65"/>
      <c r="TOA23" s="65"/>
      <c r="TOB23" s="65"/>
      <c r="TOC23" s="65"/>
      <c r="TOD23" s="65"/>
      <c r="TOE23" s="65"/>
      <c r="TOF23" s="65"/>
      <c r="TOG23" s="65"/>
      <c r="TOH23" s="65"/>
      <c r="TOI23" s="65"/>
      <c r="TOJ23" s="65"/>
      <c r="TOK23" s="65"/>
      <c r="TOL23" s="65"/>
      <c r="TOM23" s="65"/>
      <c r="TON23" s="65"/>
      <c r="TOO23" s="65"/>
      <c r="TOP23" s="65"/>
      <c r="TOQ23" s="65"/>
      <c r="TOR23" s="65"/>
      <c r="TOS23" s="65"/>
      <c r="TOT23" s="65"/>
      <c r="TOU23" s="65"/>
      <c r="TOV23" s="65"/>
      <c r="TOW23" s="65"/>
      <c r="TOX23" s="65"/>
      <c r="TOY23" s="65"/>
      <c r="TOZ23" s="65"/>
      <c r="TPA23" s="65"/>
      <c r="TPB23" s="65"/>
      <c r="TPC23" s="65"/>
      <c r="TPD23" s="65"/>
      <c r="TPE23" s="65"/>
      <c r="TPF23" s="65"/>
      <c r="TPG23" s="65"/>
      <c r="TPH23" s="65"/>
      <c r="TPI23" s="65"/>
      <c r="TPJ23" s="65"/>
      <c r="TPK23" s="65"/>
      <c r="TPL23" s="65"/>
      <c r="TPM23" s="65"/>
      <c r="TPN23" s="65"/>
      <c r="TPO23" s="65"/>
      <c r="TPP23" s="65"/>
      <c r="TPQ23" s="65"/>
      <c r="TPR23" s="65"/>
      <c r="TPS23" s="65"/>
      <c r="TPT23" s="65"/>
      <c r="TPU23" s="65"/>
      <c r="TPV23" s="65"/>
      <c r="TPW23" s="65"/>
      <c r="TPX23" s="65"/>
      <c r="TPY23" s="65"/>
      <c r="TPZ23" s="65"/>
      <c r="TQA23" s="65"/>
      <c r="TQB23" s="65"/>
      <c r="TQC23" s="65"/>
      <c r="TQD23" s="65"/>
      <c r="TQE23" s="65"/>
      <c r="TQF23" s="65"/>
      <c r="TQG23" s="65"/>
      <c r="TQH23" s="65"/>
      <c r="TQI23" s="65"/>
      <c r="TQJ23" s="65"/>
      <c r="TQK23" s="65"/>
      <c r="TQL23" s="65"/>
      <c r="TQM23" s="65"/>
      <c r="TQN23" s="65"/>
      <c r="TQO23" s="65"/>
      <c r="TQP23" s="65"/>
      <c r="TQQ23" s="65"/>
      <c r="TQR23" s="65"/>
      <c r="TQS23" s="65"/>
      <c r="TQT23" s="65"/>
      <c r="TQU23" s="65"/>
      <c r="TQV23" s="65"/>
      <c r="TQW23" s="65"/>
      <c r="TQX23" s="65"/>
      <c r="TQY23" s="65"/>
      <c r="TQZ23" s="65"/>
      <c r="TRA23" s="65"/>
      <c r="TRB23" s="65"/>
      <c r="TRC23" s="65"/>
      <c r="TRD23" s="65"/>
      <c r="TRE23" s="65"/>
      <c r="TRF23" s="65"/>
      <c r="TRG23" s="65"/>
      <c r="TRH23" s="65"/>
      <c r="TRI23" s="65"/>
      <c r="TRJ23" s="65"/>
      <c r="TRK23" s="65"/>
      <c r="TRL23" s="65"/>
      <c r="TRM23" s="65"/>
      <c r="TRN23" s="65"/>
      <c r="TRO23" s="65"/>
      <c r="TRP23" s="65"/>
      <c r="TRQ23" s="65"/>
      <c r="TRR23" s="65"/>
      <c r="TRS23" s="65"/>
      <c r="TRT23" s="65"/>
      <c r="TRU23" s="65"/>
      <c r="TRV23" s="65"/>
      <c r="TRW23" s="65"/>
      <c r="TRX23" s="65"/>
      <c r="TRY23" s="65"/>
      <c r="TRZ23" s="65"/>
      <c r="TSA23" s="65"/>
      <c r="TSB23" s="65"/>
      <c r="TSC23" s="65"/>
      <c r="TSD23" s="65"/>
      <c r="TSE23" s="65"/>
      <c r="TSF23" s="65"/>
      <c r="TSG23" s="65"/>
      <c r="TSH23" s="65"/>
      <c r="TSI23" s="65"/>
      <c r="TSJ23" s="65"/>
      <c r="TSK23" s="65"/>
      <c r="TSL23" s="65"/>
      <c r="TSM23" s="65"/>
      <c r="TSN23" s="65"/>
      <c r="TSO23" s="65"/>
      <c r="TSP23" s="65"/>
      <c r="TSQ23" s="65"/>
      <c r="TSR23" s="65"/>
      <c r="TSS23" s="65"/>
      <c r="TST23" s="65"/>
      <c r="TSU23" s="65"/>
      <c r="TSV23" s="65"/>
      <c r="TSW23" s="65"/>
      <c r="TSX23" s="65"/>
      <c r="TSY23" s="65"/>
      <c r="TSZ23" s="65"/>
      <c r="TTA23" s="65"/>
      <c r="TTB23" s="65"/>
      <c r="TTC23" s="65"/>
      <c r="TTD23" s="65"/>
      <c r="TTE23" s="65"/>
      <c r="TTF23" s="65"/>
      <c r="TTG23" s="65"/>
      <c r="TTH23" s="65"/>
      <c r="TTI23" s="65"/>
      <c r="TTJ23" s="65"/>
      <c r="TTK23" s="65"/>
      <c r="TTL23" s="65"/>
      <c r="TTM23" s="65"/>
      <c r="TTN23" s="65"/>
      <c r="TTO23" s="65"/>
      <c r="TTP23" s="65"/>
      <c r="TTQ23" s="65"/>
      <c r="TTR23" s="65"/>
      <c r="TTS23" s="65"/>
      <c r="TTT23" s="65"/>
      <c r="TTU23" s="65"/>
      <c r="TTV23" s="65"/>
      <c r="TTW23" s="65"/>
      <c r="TTX23" s="65"/>
      <c r="TTY23" s="65"/>
      <c r="TTZ23" s="65"/>
      <c r="TUA23" s="65"/>
      <c r="TUB23" s="65"/>
      <c r="TUC23" s="65"/>
      <c r="TUD23" s="65"/>
      <c r="TUE23" s="65"/>
      <c r="TUF23" s="65"/>
      <c r="TUG23" s="65"/>
      <c r="TUH23" s="65"/>
      <c r="TUI23" s="65"/>
      <c r="TUJ23" s="65"/>
      <c r="TUK23" s="65"/>
      <c r="TUL23" s="65"/>
      <c r="TUM23" s="65"/>
      <c r="TUN23" s="65"/>
      <c r="TUO23" s="65"/>
      <c r="TUP23" s="65"/>
      <c r="TUQ23" s="65"/>
      <c r="TUR23" s="65"/>
      <c r="TUS23" s="65"/>
      <c r="TUT23" s="65"/>
      <c r="TUU23" s="65"/>
      <c r="TUV23" s="65"/>
      <c r="TUW23" s="65"/>
      <c r="TUX23" s="65"/>
      <c r="TUY23" s="65"/>
      <c r="TUZ23" s="65"/>
      <c r="TVA23" s="65"/>
      <c r="TVB23" s="65"/>
      <c r="TVC23" s="65"/>
      <c r="TVD23" s="65"/>
      <c r="TVE23" s="65"/>
      <c r="TVF23" s="65"/>
      <c r="TVG23" s="65"/>
      <c r="TVH23" s="65"/>
      <c r="TVI23" s="65"/>
      <c r="TVJ23" s="65"/>
      <c r="TVK23" s="65"/>
      <c r="TVL23" s="65"/>
      <c r="TVM23" s="65"/>
      <c r="TVN23" s="65"/>
      <c r="TVO23" s="65"/>
      <c r="TVP23" s="65"/>
      <c r="TVQ23" s="65"/>
      <c r="TVR23" s="65"/>
      <c r="TVS23" s="65"/>
      <c r="TVT23" s="65"/>
      <c r="TVU23" s="65"/>
      <c r="TVV23" s="65"/>
      <c r="TVW23" s="65"/>
      <c r="TVX23" s="65"/>
      <c r="TVY23" s="65"/>
      <c r="TVZ23" s="65"/>
      <c r="TWA23" s="65"/>
      <c r="TWB23" s="65"/>
      <c r="TWC23" s="65"/>
      <c r="TWD23" s="65"/>
      <c r="TWE23" s="65"/>
      <c r="TWF23" s="65"/>
      <c r="TWG23" s="65"/>
      <c r="TWH23" s="65"/>
      <c r="TWI23" s="65"/>
      <c r="TWJ23" s="65"/>
      <c r="TWK23" s="65"/>
      <c r="TWL23" s="65"/>
      <c r="TWM23" s="65"/>
      <c r="TWN23" s="65"/>
      <c r="TWO23" s="65"/>
      <c r="TWP23" s="65"/>
      <c r="TWQ23" s="65"/>
      <c r="TWR23" s="65"/>
      <c r="TWS23" s="65"/>
      <c r="TWT23" s="65"/>
      <c r="TWU23" s="65"/>
      <c r="TWV23" s="65"/>
      <c r="TWW23" s="65"/>
      <c r="TWX23" s="65"/>
      <c r="TWY23" s="65"/>
      <c r="TWZ23" s="65"/>
      <c r="TXA23" s="65"/>
      <c r="TXB23" s="65"/>
      <c r="TXC23" s="65"/>
      <c r="TXD23" s="65"/>
      <c r="TXE23" s="65"/>
      <c r="TXF23" s="65"/>
      <c r="TXG23" s="65"/>
      <c r="TXH23" s="65"/>
      <c r="TXI23" s="65"/>
      <c r="TXJ23" s="65"/>
      <c r="TXK23" s="65"/>
      <c r="TXL23" s="65"/>
      <c r="TXM23" s="65"/>
      <c r="TXN23" s="65"/>
      <c r="TXO23" s="65"/>
      <c r="TXP23" s="65"/>
      <c r="TXQ23" s="65"/>
      <c r="TXR23" s="65"/>
      <c r="TXS23" s="65"/>
      <c r="TXT23" s="65"/>
      <c r="TXU23" s="65"/>
      <c r="TXV23" s="65"/>
      <c r="TXW23" s="65"/>
      <c r="TXX23" s="65"/>
      <c r="TXY23" s="65"/>
      <c r="TXZ23" s="65"/>
      <c r="TYA23" s="65"/>
      <c r="TYB23" s="65"/>
      <c r="TYC23" s="65"/>
      <c r="TYD23" s="65"/>
      <c r="TYE23" s="65"/>
      <c r="TYF23" s="65"/>
      <c r="TYG23" s="65"/>
      <c r="TYH23" s="65"/>
      <c r="TYI23" s="65"/>
      <c r="TYJ23" s="65"/>
      <c r="TYK23" s="65"/>
      <c r="TYL23" s="65"/>
      <c r="TYM23" s="65"/>
      <c r="TYN23" s="65"/>
      <c r="TYO23" s="65"/>
      <c r="TYP23" s="65"/>
      <c r="TYQ23" s="65"/>
      <c r="TYR23" s="65"/>
      <c r="TYS23" s="65"/>
      <c r="TYT23" s="65"/>
      <c r="TYU23" s="65"/>
      <c r="TYV23" s="65"/>
      <c r="TYW23" s="65"/>
      <c r="TYX23" s="65"/>
      <c r="TYY23" s="65"/>
      <c r="TYZ23" s="65"/>
      <c r="TZA23" s="65"/>
      <c r="TZB23" s="65"/>
      <c r="TZC23" s="65"/>
      <c r="TZD23" s="65"/>
      <c r="TZE23" s="65"/>
      <c r="TZF23" s="65"/>
      <c r="TZG23" s="65"/>
      <c r="TZH23" s="65"/>
      <c r="TZI23" s="65"/>
      <c r="TZJ23" s="65"/>
      <c r="TZK23" s="65"/>
      <c r="TZL23" s="65"/>
      <c r="TZM23" s="65"/>
      <c r="TZN23" s="65"/>
      <c r="TZO23" s="65"/>
      <c r="TZP23" s="65"/>
      <c r="TZQ23" s="65"/>
      <c r="TZR23" s="65"/>
      <c r="TZS23" s="65"/>
      <c r="TZT23" s="65"/>
      <c r="TZU23" s="65"/>
      <c r="TZV23" s="65"/>
      <c r="TZW23" s="65"/>
      <c r="TZX23" s="65"/>
      <c r="TZY23" s="65"/>
      <c r="TZZ23" s="65"/>
      <c r="UAA23" s="65"/>
      <c r="UAB23" s="65"/>
      <c r="UAC23" s="65"/>
      <c r="UAD23" s="65"/>
      <c r="UAE23" s="65"/>
      <c r="UAF23" s="65"/>
      <c r="UAG23" s="65"/>
      <c r="UAH23" s="65"/>
      <c r="UAI23" s="65"/>
      <c r="UAJ23" s="65"/>
      <c r="UAK23" s="65"/>
      <c r="UAL23" s="65"/>
      <c r="UAM23" s="65"/>
      <c r="UAN23" s="65"/>
      <c r="UAO23" s="65"/>
      <c r="UAP23" s="65"/>
      <c r="UAQ23" s="65"/>
      <c r="UAR23" s="65"/>
      <c r="UAS23" s="65"/>
      <c r="UAT23" s="65"/>
      <c r="UAU23" s="65"/>
      <c r="UAV23" s="65"/>
      <c r="UAW23" s="65"/>
      <c r="UAX23" s="65"/>
      <c r="UAY23" s="65"/>
      <c r="UAZ23" s="65"/>
      <c r="UBA23" s="65"/>
      <c r="UBB23" s="65"/>
      <c r="UBC23" s="65"/>
      <c r="UBD23" s="65"/>
      <c r="UBE23" s="65"/>
      <c r="UBF23" s="65"/>
      <c r="UBG23" s="65"/>
      <c r="UBH23" s="65"/>
      <c r="UBI23" s="65"/>
      <c r="UBJ23" s="65"/>
      <c r="UBK23" s="65"/>
      <c r="UBL23" s="65"/>
      <c r="UBM23" s="65"/>
      <c r="UBN23" s="65"/>
      <c r="UBO23" s="65"/>
      <c r="UBP23" s="65"/>
      <c r="UBQ23" s="65"/>
      <c r="UBR23" s="65"/>
      <c r="UBS23" s="65"/>
      <c r="UBT23" s="65"/>
      <c r="UBU23" s="65"/>
      <c r="UBV23" s="65"/>
      <c r="UBW23" s="65"/>
      <c r="UBX23" s="65"/>
      <c r="UBY23" s="65"/>
      <c r="UBZ23" s="65"/>
      <c r="UCA23" s="65"/>
      <c r="UCB23" s="65"/>
      <c r="UCC23" s="65"/>
      <c r="UCD23" s="65"/>
      <c r="UCE23" s="65"/>
      <c r="UCF23" s="65"/>
      <c r="UCG23" s="65"/>
      <c r="UCH23" s="65"/>
      <c r="UCI23" s="65"/>
      <c r="UCJ23" s="65"/>
      <c r="UCK23" s="65"/>
      <c r="UCL23" s="65"/>
      <c r="UCM23" s="65"/>
      <c r="UCN23" s="65"/>
      <c r="UCO23" s="65"/>
      <c r="UCP23" s="65"/>
      <c r="UCQ23" s="65"/>
      <c r="UCR23" s="65"/>
      <c r="UCS23" s="65"/>
      <c r="UCT23" s="65"/>
      <c r="UCU23" s="65"/>
      <c r="UCV23" s="65"/>
      <c r="UCW23" s="65"/>
      <c r="UCX23" s="65"/>
      <c r="UCY23" s="65"/>
      <c r="UCZ23" s="65"/>
      <c r="UDA23" s="65"/>
      <c r="UDB23" s="65"/>
      <c r="UDC23" s="65"/>
      <c r="UDD23" s="65"/>
      <c r="UDE23" s="65"/>
      <c r="UDF23" s="65"/>
      <c r="UDG23" s="65"/>
      <c r="UDH23" s="65"/>
      <c r="UDI23" s="65"/>
      <c r="UDJ23" s="65"/>
      <c r="UDK23" s="65"/>
      <c r="UDL23" s="65"/>
      <c r="UDM23" s="65"/>
      <c r="UDN23" s="65"/>
      <c r="UDO23" s="65"/>
      <c r="UDP23" s="65"/>
      <c r="UDQ23" s="65"/>
      <c r="UDR23" s="65"/>
      <c r="UDS23" s="65"/>
      <c r="UDT23" s="65"/>
      <c r="UDU23" s="65"/>
      <c r="UDV23" s="65"/>
      <c r="UDW23" s="65"/>
      <c r="UDX23" s="65"/>
      <c r="UDY23" s="65"/>
      <c r="UDZ23" s="65"/>
      <c r="UEA23" s="65"/>
      <c r="UEB23" s="65"/>
      <c r="UEC23" s="65"/>
      <c r="UED23" s="65"/>
      <c r="UEE23" s="65"/>
      <c r="UEF23" s="65"/>
      <c r="UEG23" s="65"/>
      <c r="UEH23" s="65"/>
      <c r="UEI23" s="65"/>
      <c r="UEJ23" s="65"/>
      <c r="UEK23" s="65"/>
      <c r="UEL23" s="65"/>
      <c r="UEM23" s="65"/>
      <c r="UEN23" s="65"/>
      <c r="UEO23" s="65"/>
      <c r="UEP23" s="65"/>
      <c r="UEQ23" s="65"/>
      <c r="UER23" s="65"/>
      <c r="UES23" s="65"/>
      <c r="UET23" s="65"/>
      <c r="UEU23" s="65"/>
      <c r="UEV23" s="65"/>
      <c r="UEW23" s="65"/>
      <c r="UEX23" s="65"/>
      <c r="UEY23" s="65"/>
      <c r="UEZ23" s="65"/>
      <c r="UFA23" s="65"/>
      <c r="UFB23" s="65"/>
      <c r="UFC23" s="65"/>
      <c r="UFD23" s="65"/>
      <c r="UFE23" s="65"/>
      <c r="UFF23" s="65"/>
      <c r="UFG23" s="65"/>
      <c r="UFH23" s="65"/>
      <c r="UFI23" s="65"/>
      <c r="UFJ23" s="65"/>
      <c r="UFK23" s="65"/>
      <c r="UFL23" s="65"/>
      <c r="UFM23" s="65"/>
      <c r="UFN23" s="65"/>
      <c r="UFO23" s="65"/>
      <c r="UFP23" s="65"/>
      <c r="UFQ23" s="65"/>
      <c r="UFR23" s="65"/>
      <c r="UFS23" s="65"/>
      <c r="UFT23" s="65"/>
      <c r="UFU23" s="65"/>
      <c r="UFV23" s="65"/>
      <c r="UFW23" s="65"/>
      <c r="UFX23" s="65"/>
      <c r="UFY23" s="65"/>
      <c r="UFZ23" s="65"/>
      <c r="UGA23" s="65"/>
      <c r="UGB23" s="65"/>
      <c r="UGC23" s="65"/>
      <c r="UGD23" s="65"/>
      <c r="UGE23" s="65"/>
      <c r="UGF23" s="65"/>
      <c r="UGG23" s="65"/>
      <c r="UGH23" s="65"/>
      <c r="UGI23" s="65"/>
      <c r="UGJ23" s="65"/>
      <c r="UGK23" s="65"/>
      <c r="UGL23" s="65"/>
      <c r="UGM23" s="65"/>
      <c r="UGN23" s="65"/>
      <c r="UGO23" s="65"/>
      <c r="UGP23" s="65"/>
      <c r="UGQ23" s="65"/>
      <c r="UGR23" s="65"/>
      <c r="UGS23" s="65"/>
      <c r="UGT23" s="65"/>
      <c r="UGU23" s="65"/>
      <c r="UGV23" s="65"/>
      <c r="UGW23" s="65"/>
      <c r="UGX23" s="65"/>
      <c r="UGY23" s="65"/>
      <c r="UGZ23" s="65"/>
      <c r="UHA23" s="65"/>
      <c r="UHB23" s="65"/>
      <c r="UHC23" s="65"/>
      <c r="UHD23" s="65"/>
      <c r="UHE23" s="65"/>
      <c r="UHF23" s="65"/>
      <c r="UHG23" s="65"/>
      <c r="UHH23" s="65"/>
      <c r="UHI23" s="65"/>
      <c r="UHJ23" s="65"/>
      <c r="UHK23" s="65"/>
      <c r="UHL23" s="65"/>
      <c r="UHM23" s="65"/>
      <c r="UHN23" s="65"/>
      <c r="UHO23" s="65"/>
      <c r="UHP23" s="65"/>
      <c r="UHQ23" s="65"/>
      <c r="UHR23" s="65"/>
      <c r="UHS23" s="65"/>
      <c r="UHT23" s="65"/>
      <c r="UHU23" s="65"/>
      <c r="UHV23" s="65"/>
      <c r="UHW23" s="65"/>
      <c r="UHX23" s="65"/>
      <c r="UHY23" s="65"/>
      <c r="UHZ23" s="65"/>
      <c r="UIA23" s="65"/>
      <c r="UIB23" s="65"/>
      <c r="UIC23" s="65"/>
      <c r="UID23" s="65"/>
      <c r="UIE23" s="65"/>
      <c r="UIF23" s="65"/>
      <c r="UIG23" s="65"/>
      <c r="UIH23" s="65"/>
      <c r="UII23" s="65"/>
      <c r="UIJ23" s="65"/>
      <c r="UIK23" s="65"/>
      <c r="UIL23" s="65"/>
      <c r="UIM23" s="65"/>
      <c r="UIN23" s="65"/>
      <c r="UIO23" s="65"/>
      <c r="UIP23" s="65"/>
      <c r="UIQ23" s="65"/>
      <c r="UIR23" s="65"/>
      <c r="UIS23" s="65"/>
      <c r="UIT23" s="65"/>
      <c r="UIU23" s="65"/>
      <c r="UIV23" s="65"/>
      <c r="UIW23" s="65"/>
      <c r="UIX23" s="65"/>
      <c r="UIY23" s="65"/>
      <c r="UIZ23" s="65"/>
      <c r="UJA23" s="65"/>
      <c r="UJB23" s="65"/>
      <c r="UJC23" s="65"/>
      <c r="UJD23" s="65"/>
      <c r="UJE23" s="65"/>
      <c r="UJF23" s="65"/>
      <c r="UJG23" s="65"/>
      <c r="UJH23" s="65"/>
      <c r="UJI23" s="65"/>
      <c r="UJJ23" s="65"/>
      <c r="UJK23" s="65"/>
      <c r="UJL23" s="65"/>
      <c r="UJM23" s="65"/>
      <c r="UJN23" s="65"/>
      <c r="UJO23" s="65"/>
      <c r="UJP23" s="65"/>
      <c r="UJQ23" s="65"/>
      <c r="UJR23" s="65"/>
      <c r="UJS23" s="65"/>
      <c r="UJT23" s="65"/>
      <c r="UJU23" s="65"/>
      <c r="UJV23" s="65"/>
      <c r="UJW23" s="65"/>
      <c r="UJX23" s="65"/>
      <c r="UJY23" s="65"/>
      <c r="UJZ23" s="65"/>
      <c r="UKA23" s="65"/>
      <c r="UKB23" s="65"/>
      <c r="UKC23" s="65"/>
      <c r="UKD23" s="65"/>
      <c r="UKE23" s="65"/>
      <c r="UKF23" s="65"/>
      <c r="UKG23" s="65"/>
      <c r="UKH23" s="65"/>
      <c r="UKI23" s="65"/>
      <c r="UKJ23" s="65"/>
      <c r="UKK23" s="65"/>
      <c r="UKL23" s="65"/>
      <c r="UKM23" s="65"/>
      <c r="UKN23" s="65"/>
      <c r="UKO23" s="65"/>
      <c r="UKP23" s="65"/>
      <c r="UKQ23" s="65"/>
      <c r="UKR23" s="65"/>
      <c r="UKS23" s="65"/>
      <c r="UKT23" s="65"/>
      <c r="UKU23" s="65"/>
      <c r="UKV23" s="65"/>
      <c r="UKW23" s="65"/>
      <c r="UKX23" s="65"/>
      <c r="UKY23" s="65"/>
      <c r="UKZ23" s="65"/>
      <c r="ULA23" s="65"/>
      <c r="ULB23" s="65"/>
      <c r="ULC23" s="65"/>
      <c r="ULD23" s="65"/>
      <c r="ULE23" s="65"/>
      <c r="ULF23" s="65"/>
      <c r="ULG23" s="65"/>
      <c r="ULH23" s="65"/>
      <c r="ULI23" s="65"/>
      <c r="ULJ23" s="65"/>
      <c r="ULK23" s="65"/>
      <c r="ULL23" s="65"/>
      <c r="ULM23" s="65"/>
      <c r="ULN23" s="65"/>
      <c r="ULO23" s="65"/>
      <c r="ULP23" s="65"/>
      <c r="ULQ23" s="65"/>
      <c r="ULR23" s="65"/>
      <c r="ULS23" s="65"/>
      <c r="ULT23" s="65"/>
      <c r="ULU23" s="65"/>
      <c r="ULV23" s="65"/>
      <c r="ULW23" s="65"/>
      <c r="ULX23" s="65"/>
      <c r="ULY23" s="65"/>
      <c r="ULZ23" s="65"/>
      <c r="UMA23" s="65"/>
      <c r="UMB23" s="65"/>
      <c r="UMC23" s="65"/>
      <c r="UMD23" s="65"/>
      <c r="UME23" s="65"/>
      <c r="UMF23" s="65"/>
      <c r="UMG23" s="65"/>
      <c r="UMH23" s="65"/>
      <c r="UMI23" s="65"/>
      <c r="UMJ23" s="65"/>
      <c r="UMK23" s="65"/>
      <c r="UML23" s="65"/>
      <c r="UMM23" s="65"/>
      <c r="UMN23" s="65"/>
      <c r="UMO23" s="65"/>
      <c r="UMP23" s="65"/>
      <c r="UMQ23" s="65"/>
      <c r="UMR23" s="65"/>
      <c r="UMS23" s="65"/>
      <c r="UMT23" s="65"/>
      <c r="UMU23" s="65"/>
      <c r="UMV23" s="65"/>
      <c r="UMW23" s="65"/>
      <c r="UMX23" s="65"/>
      <c r="UMY23" s="65"/>
      <c r="UMZ23" s="65"/>
      <c r="UNA23" s="65"/>
      <c r="UNB23" s="65"/>
      <c r="UNC23" s="65"/>
      <c r="UND23" s="65"/>
      <c r="UNE23" s="65"/>
      <c r="UNF23" s="65"/>
      <c r="UNG23" s="65"/>
      <c r="UNH23" s="65"/>
      <c r="UNI23" s="65"/>
      <c r="UNJ23" s="65"/>
      <c r="UNK23" s="65"/>
      <c r="UNL23" s="65"/>
      <c r="UNM23" s="65"/>
      <c r="UNN23" s="65"/>
      <c r="UNO23" s="65"/>
      <c r="UNP23" s="65"/>
      <c r="UNQ23" s="65"/>
      <c r="UNR23" s="65"/>
      <c r="UNS23" s="65"/>
      <c r="UNT23" s="65"/>
      <c r="UNU23" s="65"/>
      <c r="UNV23" s="65"/>
      <c r="UNW23" s="65"/>
      <c r="UNX23" s="65"/>
      <c r="UNY23" s="65"/>
      <c r="UNZ23" s="65"/>
      <c r="UOA23" s="65"/>
      <c r="UOB23" s="65"/>
      <c r="UOC23" s="65"/>
      <c r="UOD23" s="65"/>
      <c r="UOE23" s="65"/>
      <c r="UOF23" s="65"/>
      <c r="UOG23" s="65"/>
      <c r="UOH23" s="65"/>
      <c r="UOI23" s="65"/>
      <c r="UOJ23" s="65"/>
      <c r="UOK23" s="65"/>
      <c r="UOL23" s="65"/>
      <c r="UOM23" s="65"/>
      <c r="UON23" s="65"/>
      <c r="UOO23" s="65"/>
      <c r="UOP23" s="65"/>
      <c r="UOQ23" s="65"/>
      <c r="UOR23" s="65"/>
      <c r="UOS23" s="65"/>
      <c r="UOT23" s="65"/>
      <c r="UOU23" s="65"/>
      <c r="UOV23" s="65"/>
      <c r="UOW23" s="65"/>
      <c r="UOX23" s="65"/>
      <c r="UOY23" s="65"/>
      <c r="UOZ23" s="65"/>
      <c r="UPA23" s="65"/>
      <c r="UPB23" s="65"/>
      <c r="UPC23" s="65"/>
      <c r="UPD23" s="65"/>
      <c r="UPE23" s="65"/>
      <c r="UPF23" s="65"/>
      <c r="UPG23" s="65"/>
      <c r="UPH23" s="65"/>
      <c r="UPI23" s="65"/>
      <c r="UPJ23" s="65"/>
      <c r="UPK23" s="65"/>
      <c r="UPL23" s="65"/>
      <c r="UPM23" s="65"/>
      <c r="UPN23" s="65"/>
      <c r="UPO23" s="65"/>
      <c r="UPP23" s="65"/>
      <c r="UPQ23" s="65"/>
      <c r="UPR23" s="65"/>
      <c r="UPS23" s="65"/>
      <c r="UPT23" s="65"/>
      <c r="UPU23" s="65"/>
      <c r="UPV23" s="65"/>
      <c r="UPW23" s="65"/>
      <c r="UPX23" s="65"/>
      <c r="UPY23" s="65"/>
      <c r="UPZ23" s="65"/>
      <c r="UQA23" s="65"/>
      <c r="UQB23" s="65"/>
      <c r="UQC23" s="65"/>
      <c r="UQD23" s="65"/>
      <c r="UQE23" s="65"/>
      <c r="UQF23" s="65"/>
      <c r="UQG23" s="65"/>
      <c r="UQH23" s="65"/>
      <c r="UQI23" s="65"/>
      <c r="UQJ23" s="65"/>
      <c r="UQK23" s="65"/>
      <c r="UQL23" s="65"/>
      <c r="UQM23" s="65"/>
      <c r="UQN23" s="65"/>
      <c r="UQO23" s="65"/>
      <c r="UQP23" s="65"/>
      <c r="UQQ23" s="65"/>
      <c r="UQR23" s="65"/>
      <c r="UQS23" s="65"/>
      <c r="UQT23" s="65"/>
      <c r="UQU23" s="65"/>
      <c r="UQV23" s="65"/>
      <c r="UQW23" s="65"/>
      <c r="UQX23" s="65"/>
      <c r="UQY23" s="65"/>
      <c r="UQZ23" s="65"/>
      <c r="URA23" s="65"/>
      <c r="URB23" s="65"/>
      <c r="URC23" s="65"/>
      <c r="URD23" s="65"/>
      <c r="URE23" s="65"/>
      <c r="URF23" s="65"/>
      <c r="URG23" s="65"/>
      <c r="URH23" s="65"/>
      <c r="URI23" s="65"/>
      <c r="URJ23" s="65"/>
      <c r="URK23" s="65"/>
      <c r="URL23" s="65"/>
      <c r="URM23" s="65"/>
      <c r="URN23" s="65"/>
      <c r="URO23" s="65"/>
      <c r="URP23" s="65"/>
      <c r="URQ23" s="65"/>
      <c r="URR23" s="65"/>
      <c r="URS23" s="65"/>
      <c r="URT23" s="65"/>
      <c r="URU23" s="65"/>
      <c r="URV23" s="65"/>
      <c r="URW23" s="65"/>
      <c r="URX23" s="65"/>
      <c r="URY23" s="65"/>
      <c r="URZ23" s="65"/>
      <c r="USA23" s="65"/>
      <c r="USB23" s="65"/>
      <c r="USC23" s="65"/>
      <c r="USD23" s="65"/>
      <c r="USE23" s="65"/>
      <c r="USF23" s="65"/>
      <c r="USG23" s="65"/>
      <c r="USH23" s="65"/>
      <c r="USI23" s="65"/>
      <c r="USJ23" s="65"/>
      <c r="USK23" s="65"/>
      <c r="USL23" s="65"/>
      <c r="USM23" s="65"/>
      <c r="USN23" s="65"/>
      <c r="USO23" s="65"/>
      <c r="USP23" s="65"/>
      <c r="USQ23" s="65"/>
      <c r="USR23" s="65"/>
      <c r="USS23" s="65"/>
      <c r="UST23" s="65"/>
      <c r="USU23" s="65"/>
      <c r="USV23" s="65"/>
      <c r="USW23" s="65"/>
      <c r="USX23" s="65"/>
      <c r="USY23" s="65"/>
      <c r="USZ23" s="65"/>
      <c r="UTA23" s="65"/>
      <c r="UTB23" s="65"/>
      <c r="UTC23" s="65"/>
      <c r="UTD23" s="65"/>
      <c r="UTE23" s="65"/>
      <c r="UTF23" s="65"/>
      <c r="UTG23" s="65"/>
      <c r="UTH23" s="65"/>
      <c r="UTI23" s="65"/>
      <c r="UTJ23" s="65"/>
      <c r="UTK23" s="65"/>
      <c r="UTL23" s="65"/>
      <c r="UTM23" s="65"/>
      <c r="UTN23" s="65"/>
      <c r="UTO23" s="65"/>
      <c r="UTP23" s="65"/>
      <c r="UTQ23" s="65"/>
      <c r="UTR23" s="65"/>
      <c r="UTS23" s="65"/>
      <c r="UTT23" s="65"/>
      <c r="UTU23" s="65"/>
      <c r="UTV23" s="65"/>
      <c r="UTW23" s="65"/>
      <c r="UTX23" s="65"/>
      <c r="UTY23" s="65"/>
      <c r="UTZ23" s="65"/>
      <c r="UUA23" s="65"/>
      <c r="UUB23" s="65"/>
      <c r="UUC23" s="65"/>
      <c r="UUD23" s="65"/>
      <c r="UUE23" s="65"/>
      <c r="UUF23" s="65"/>
      <c r="UUG23" s="65"/>
      <c r="UUH23" s="65"/>
      <c r="UUI23" s="65"/>
      <c r="UUJ23" s="65"/>
      <c r="UUK23" s="65"/>
      <c r="UUL23" s="65"/>
      <c r="UUM23" s="65"/>
      <c r="UUN23" s="65"/>
      <c r="UUO23" s="65"/>
      <c r="UUP23" s="65"/>
      <c r="UUQ23" s="65"/>
      <c r="UUR23" s="65"/>
      <c r="UUS23" s="65"/>
      <c r="UUT23" s="65"/>
      <c r="UUU23" s="65"/>
      <c r="UUV23" s="65"/>
      <c r="UUW23" s="65"/>
      <c r="UUX23" s="65"/>
      <c r="UUY23" s="65"/>
      <c r="UUZ23" s="65"/>
      <c r="UVA23" s="65"/>
      <c r="UVB23" s="65"/>
      <c r="UVC23" s="65"/>
      <c r="UVD23" s="65"/>
      <c r="UVE23" s="65"/>
      <c r="UVF23" s="65"/>
      <c r="UVG23" s="65"/>
      <c r="UVH23" s="65"/>
      <c r="UVI23" s="65"/>
      <c r="UVJ23" s="65"/>
      <c r="UVK23" s="65"/>
      <c r="UVL23" s="65"/>
      <c r="UVM23" s="65"/>
      <c r="UVN23" s="65"/>
      <c r="UVO23" s="65"/>
      <c r="UVP23" s="65"/>
      <c r="UVQ23" s="65"/>
      <c r="UVR23" s="65"/>
      <c r="UVS23" s="65"/>
      <c r="UVT23" s="65"/>
      <c r="UVU23" s="65"/>
      <c r="UVV23" s="65"/>
      <c r="UVW23" s="65"/>
      <c r="UVX23" s="65"/>
      <c r="UVY23" s="65"/>
      <c r="UVZ23" s="65"/>
      <c r="UWA23" s="65"/>
      <c r="UWB23" s="65"/>
      <c r="UWC23" s="65"/>
      <c r="UWD23" s="65"/>
      <c r="UWE23" s="65"/>
      <c r="UWF23" s="65"/>
      <c r="UWG23" s="65"/>
      <c r="UWH23" s="65"/>
      <c r="UWI23" s="65"/>
      <c r="UWJ23" s="65"/>
      <c r="UWK23" s="65"/>
      <c r="UWL23" s="65"/>
      <c r="UWM23" s="65"/>
      <c r="UWN23" s="65"/>
      <c r="UWO23" s="65"/>
      <c r="UWP23" s="65"/>
      <c r="UWQ23" s="65"/>
      <c r="UWR23" s="65"/>
      <c r="UWS23" s="65"/>
      <c r="UWT23" s="65"/>
      <c r="UWU23" s="65"/>
      <c r="UWV23" s="65"/>
      <c r="UWW23" s="65"/>
      <c r="UWX23" s="65"/>
      <c r="UWY23" s="65"/>
      <c r="UWZ23" s="65"/>
      <c r="UXA23" s="65"/>
      <c r="UXB23" s="65"/>
      <c r="UXC23" s="65"/>
      <c r="UXD23" s="65"/>
      <c r="UXE23" s="65"/>
      <c r="UXF23" s="65"/>
      <c r="UXG23" s="65"/>
      <c r="UXH23" s="65"/>
      <c r="UXI23" s="65"/>
      <c r="UXJ23" s="65"/>
      <c r="UXK23" s="65"/>
      <c r="UXL23" s="65"/>
      <c r="UXM23" s="65"/>
      <c r="UXN23" s="65"/>
      <c r="UXO23" s="65"/>
      <c r="UXP23" s="65"/>
      <c r="UXQ23" s="65"/>
      <c r="UXR23" s="65"/>
      <c r="UXS23" s="65"/>
      <c r="UXT23" s="65"/>
      <c r="UXU23" s="65"/>
      <c r="UXV23" s="65"/>
      <c r="UXW23" s="65"/>
      <c r="UXX23" s="65"/>
      <c r="UXY23" s="65"/>
      <c r="UXZ23" s="65"/>
      <c r="UYA23" s="65"/>
      <c r="UYB23" s="65"/>
      <c r="UYC23" s="65"/>
      <c r="UYD23" s="65"/>
      <c r="UYE23" s="65"/>
      <c r="UYF23" s="65"/>
      <c r="UYG23" s="65"/>
      <c r="UYH23" s="65"/>
      <c r="UYI23" s="65"/>
      <c r="UYJ23" s="65"/>
      <c r="UYK23" s="65"/>
      <c r="UYL23" s="65"/>
      <c r="UYM23" s="65"/>
      <c r="UYN23" s="65"/>
      <c r="UYO23" s="65"/>
      <c r="UYP23" s="65"/>
      <c r="UYQ23" s="65"/>
      <c r="UYR23" s="65"/>
      <c r="UYS23" s="65"/>
      <c r="UYT23" s="65"/>
      <c r="UYU23" s="65"/>
      <c r="UYV23" s="65"/>
      <c r="UYW23" s="65"/>
      <c r="UYX23" s="65"/>
      <c r="UYY23" s="65"/>
      <c r="UYZ23" s="65"/>
      <c r="UZA23" s="65"/>
      <c r="UZB23" s="65"/>
      <c r="UZC23" s="65"/>
      <c r="UZD23" s="65"/>
      <c r="UZE23" s="65"/>
      <c r="UZF23" s="65"/>
      <c r="UZG23" s="65"/>
      <c r="UZH23" s="65"/>
      <c r="UZI23" s="65"/>
      <c r="UZJ23" s="65"/>
      <c r="UZK23" s="65"/>
      <c r="UZL23" s="65"/>
      <c r="UZM23" s="65"/>
      <c r="UZN23" s="65"/>
      <c r="UZO23" s="65"/>
      <c r="UZP23" s="65"/>
      <c r="UZQ23" s="65"/>
      <c r="UZR23" s="65"/>
      <c r="UZS23" s="65"/>
      <c r="UZT23" s="65"/>
      <c r="UZU23" s="65"/>
      <c r="UZV23" s="65"/>
      <c r="UZW23" s="65"/>
      <c r="UZX23" s="65"/>
      <c r="UZY23" s="65"/>
      <c r="UZZ23" s="65"/>
      <c r="VAA23" s="65"/>
      <c r="VAB23" s="65"/>
      <c r="VAC23" s="65"/>
      <c r="VAD23" s="65"/>
      <c r="VAE23" s="65"/>
      <c r="VAF23" s="65"/>
      <c r="VAG23" s="65"/>
      <c r="VAH23" s="65"/>
      <c r="VAI23" s="65"/>
      <c r="VAJ23" s="65"/>
      <c r="VAK23" s="65"/>
      <c r="VAL23" s="65"/>
      <c r="VAM23" s="65"/>
      <c r="VAN23" s="65"/>
      <c r="VAO23" s="65"/>
      <c r="VAP23" s="65"/>
      <c r="VAQ23" s="65"/>
      <c r="VAR23" s="65"/>
      <c r="VAS23" s="65"/>
      <c r="VAT23" s="65"/>
      <c r="VAU23" s="65"/>
      <c r="VAV23" s="65"/>
      <c r="VAW23" s="65"/>
      <c r="VAX23" s="65"/>
      <c r="VAY23" s="65"/>
      <c r="VAZ23" s="65"/>
      <c r="VBA23" s="65"/>
      <c r="VBB23" s="65"/>
      <c r="VBC23" s="65"/>
      <c r="VBD23" s="65"/>
      <c r="VBE23" s="65"/>
      <c r="VBF23" s="65"/>
      <c r="VBG23" s="65"/>
      <c r="VBH23" s="65"/>
      <c r="VBI23" s="65"/>
      <c r="VBJ23" s="65"/>
      <c r="VBK23" s="65"/>
      <c r="VBL23" s="65"/>
      <c r="VBM23" s="65"/>
      <c r="VBN23" s="65"/>
      <c r="VBO23" s="65"/>
      <c r="VBP23" s="65"/>
      <c r="VBQ23" s="65"/>
      <c r="VBR23" s="65"/>
      <c r="VBS23" s="65"/>
      <c r="VBT23" s="65"/>
      <c r="VBU23" s="65"/>
      <c r="VBV23" s="65"/>
      <c r="VBW23" s="65"/>
      <c r="VBX23" s="65"/>
      <c r="VBY23" s="65"/>
      <c r="VBZ23" s="65"/>
      <c r="VCA23" s="65"/>
      <c r="VCB23" s="65"/>
      <c r="VCC23" s="65"/>
      <c r="VCD23" s="65"/>
      <c r="VCE23" s="65"/>
      <c r="VCF23" s="65"/>
      <c r="VCG23" s="65"/>
      <c r="VCH23" s="65"/>
      <c r="VCI23" s="65"/>
      <c r="VCJ23" s="65"/>
      <c r="VCK23" s="65"/>
      <c r="VCL23" s="65"/>
      <c r="VCM23" s="65"/>
      <c r="VCN23" s="65"/>
      <c r="VCO23" s="65"/>
      <c r="VCP23" s="65"/>
      <c r="VCQ23" s="65"/>
      <c r="VCR23" s="65"/>
      <c r="VCS23" s="65"/>
      <c r="VCT23" s="65"/>
      <c r="VCU23" s="65"/>
      <c r="VCV23" s="65"/>
      <c r="VCW23" s="65"/>
      <c r="VCX23" s="65"/>
      <c r="VCY23" s="65"/>
      <c r="VCZ23" s="65"/>
      <c r="VDA23" s="65"/>
      <c r="VDB23" s="65"/>
      <c r="VDC23" s="65"/>
      <c r="VDD23" s="65"/>
      <c r="VDE23" s="65"/>
      <c r="VDF23" s="65"/>
      <c r="VDG23" s="65"/>
      <c r="VDH23" s="65"/>
      <c r="VDI23" s="65"/>
      <c r="VDJ23" s="65"/>
      <c r="VDK23" s="65"/>
      <c r="VDL23" s="65"/>
      <c r="VDM23" s="65"/>
      <c r="VDN23" s="65"/>
      <c r="VDO23" s="65"/>
      <c r="VDP23" s="65"/>
      <c r="VDQ23" s="65"/>
      <c r="VDR23" s="65"/>
      <c r="VDS23" s="65"/>
      <c r="VDT23" s="65"/>
      <c r="VDU23" s="65"/>
      <c r="VDV23" s="65"/>
      <c r="VDW23" s="65"/>
      <c r="VDX23" s="65"/>
      <c r="VDY23" s="65"/>
      <c r="VDZ23" s="65"/>
      <c r="VEA23" s="65"/>
      <c r="VEB23" s="65"/>
      <c r="VEC23" s="65"/>
      <c r="VED23" s="65"/>
      <c r="VEE23" s="65"/>
      <c r="VEF23" s="65"/>
      <c r="VEG23" s="65"/>
      <c r="VEH23" s="65"/>
      <c r="VEI23" s="65"/>
      <c r="VEJ23" s="65"/>
      <c r="VEK23" s="65"/>
      <c r="VEL23" s="65"/>
      <c r="VEM23" s="65"/>
      <c r="VEN23" s="65"/>
      <c r="VEO23" s="65"/>
      <c r="VEP23" s="65"/>
      <c r="VEQ23" s="65"/>
      <c r="VER23" s="65"/>
      <c r="VES23" s="65"/>
      <c r="VET23" s="65"/>
      <c r="VEU23" s="65"/>
      <c r="VEV23" s="65"/>
      <c r="VEW23" s="65"/>
      <c r="VEX23" s="65"/>
      <c r="VEY23" s="65"/>
      <c r="VEZ23" s="65"/>
      <c r="VFA23" s="65"/>
      <c r="VFB23" s="65"/>
      <c r="VFC23" s="65"/>
      <c r="VFD23" s="65"/>
      <c r="VFE23" s="65"/>
      <c r="VFF23" s="65"/>
      <c r="VFG23" s="65"/>
      <c r="VFH23" s="65"/>
      <c r="VFI23" s="65"/>
      <c r="VFJ23" s="65"/>
      <c r="VFK23" s="65"/>
      <c r="VFL23" s="65"/>
      <c r="VFM23" s="65"/>
      <c r="VFN23" s="65"/>
      <c r="VFO23" s="65"/>
      <c r="VFP23" s="65"/>
      <c r="VFQ23" s="65"/>
      <c r="VFR23" s="65"/>
      <c r="VFS23" s="65"/>
      <c r="VFT23" s="65"/>
      <c r="VFU23" s="65"/>
      <c r="VFV23" s="65"/>
      <c r="VFW23" s="65"/>
      <c r="VFX23" s="65"/>
      <c r="VFY23" s="65"/>
      <c r="VFZ23" s="65"/>
      <c r="VGA23" s="65"/>
      <c r="VGB23" s="65"/>
      <c r="VGC23" s="65"/>
      <c r="VGD23" s="65"/>
      <c r="VGE23" s="65"/>
      <c r="VGF23" s="65"/>
      <c r="VGG23" s="65"/>
      <c r="VGH23" s="65"/>
      <c r="VGI23" s="65"/>
      <c r="VGJ23" s="65"/>
      <c r="VGK23" s="65"/>
      <c r="VGL23" s="65"/>
      <c r="VGM23" s="65"/>
      <c r="VGN23" s="65"/>
      <c r="VGO23" s="65"/>
      <c r="VGP23" s="65"/>
      <c r="VGQ23" s="65"/>
      <c r="VGR23" s="65"/>
      <c r="VGS23" s="65"/>
      <c r="VGT23" s="65"/>
      <c r="VGU23" s="65"/>
      <c r="VGV23" s="65"/>
      <c r="VGW23" s="65"/>
      <c r="VGX23" s="65"/>
      <c r="VGY23" s="65"/>
      <c r="VGZ23" s="65"/>
      <c r="VHA23" s="65"/>
      <c r="VHB23" s="65"/>
      <c r="VHC23" s="65"/>
      <c r="VHD23" s="65"/>
      <c r="VHE23" s="65"/>
      <c r="VHF23" s="65"/>
      <c r="VHG23" s="65"/>
      <c r="VHH23" s="65"/>
      <c r="VHI23" s="65"/>
      <c r="VHJ23" s="65"/>
      <c r="VHK23" s="65"/>
      <c r="VHL23" s="65"/>
      <c r="VHM23" s="65"/>
      <c r="VHN23" s="65"/>
      <c r="VHO23" s="65"/>
      <c r="VHP23" s="65"/>
      <c r="VHQ23" s="65"/>
      <c r="VHR23" s="65"/>
      <c r="VHS23" s="65"/>
      <c r="VHT23" s="65"/>
      <c r="VHU23" s="65"/>
      <c r="VHV23" s="65"/>
      <c r="VHW23" s="65"/>
      <c r="VHX23" s="65"/>
      <c r="VHY23" s="65"/>
      <c r="VHZ23" s="65"/>
      <c r="VIA23" s="65"/>
      <c r="VIB23" s="65"/>
      <c r="VIC23" s="65"/>
      <c r="VID23" s="65"/>
      <c r="VIE23" s="65"/>
      <c r="VIF23" s="65"/>
      <c r="VIG23" s="65"/>
      <c r="VIH23" s="65"/>
      <c r="VII23" s="65"/>
      <c r="VIJ23" s="65"/>
      <c r="VIK23" s="65"/>
      <c r="VIL23" s="65"/>
      <c r="VIM23" s="65"/>
      <c r="VIN23" s="65"/>
      <c r="VIO23" s="65"/>
      <c r="VIP23" s="65"/>
      <c r="VIQ23" s="65"/>
      <c r="VIR23" s="65"/>
      <c r="VIS23" s="65"/>
      <c r="VIT23" s="65"/>
      <c r="VIU23" s="65"/>
      <c r="VIV23" s="65"/>
      <c r="VIW23" s="65"/>
      <c r="VIX23" s="65"/>
      <c r="VIY23" s="65"/>
      <c r="VIZ23" s="65"/>
      <c r="VJA23" s="65"/>
      <c r="VJB23" s="65"/>
      <c r="VJC23" s="65"/>
      <c r="VJD23" s="65"/>
      <c r="VJE23" s="65"/>
      <c r="VJF23" s="65"/>
      <c r="VJG23" s="65"/>
      <c r="VJH23" s="65"/>
      <c r="VJI23" s="65"/>
      <c r="VJJ23" s="65"/>
      <c r="VJK23" s="65"/>
      <c r="VJL23" s="65"/>
      <c r="VJM23" s="65"/>
      <c r="VJN23" s="65"/>
      <c r="VJO23" s="65"/>
      <c r="VJP23" s="65"/>
      <c r="VJQ23" s="65"/>
      <c r="VJR23" s="65"/>
      <c r="VJS23" s="65"/>
      <c r="VJT23" s="65"/>
      <c r="VJU23" s="65"/>
      <c r="VJV23" s="65"/>
      <c r="VJW23" s="65"/>
      <c r="VJX23" s="65"/>
      <c r="VJY23" s="65"/>
      <c r="VJZ23" s="65"/>
      <c r="VKA23" s="65"/>
      <c r="VKB23" s="65"/>
      <c r="VKC23" s="65"/>
      <c r="VKD23" s="65"/>
      <c r="VKE23" s="65"/>
      <c r="VKF23" s="65"/>
      <c r="VKG23" s="65"/>
      <c r="VKH23" s="65"/>
      <c r="VKI23" s="65"/>
      <c r="VKJ23" s="65"/>
      <c r="VKK23" s="65"/>
      <c r="VKL23" s="65"/>
      <c r="VKM23" s="65"/>
      <c r="VKN23" s="65"/>
      <c r="VKO23" s="65"/>
      <c r="VKP23" s="65"/>
      <c r="VKQ23" s="65"/>
      <c r="VKR23" s="65"/>
      <c r="VKS23" s="65"/>
      <c r="VKT23" s="65"/>
      <c r="VKU23" s="65"/>
      <c r="VKV23" s="65"/>
      <c r="VKW23" s="65"/>
      <c r="VKX23" s="65"/>
      <c r="VKY23" s="65"/>
      <c r="VKZ23" s="65"/>
      <c r="VLA23" s="65"/>
      <c r="VLB23" s="65"/>
      <c r="VLC23" s="65"/>
      <c r="VLD23" s="65"/>
      <c r="VLE23" s="65"/>
      <c r="VLF23" s="65"/>
      <c r="VLG23" s="65"/>
      <c r="VLH23" s="65"/>
      <c r="VLI23" s="65"/>
      <c r="VLJ23" s="65"/>
      <c r="VLK23" s="65"/>
      <c r="VLL23" s="65"/>
      <c r="VLM23" s="65"/>
      <c r="VLN23" s="65"/>
      <c r="VLO23" s="65"/>
      <c r="VLP23" s="65"/>
      <c r="VLQ23" s="65"/>
      <c r="VLR23" s="65"/>
      <c r="VLS23" s="65"/>
      <c r="VLT23" s="65"/>
      <c r="VLU23" s="65"/>
      <c r="VLV23" s="65"/>
      <c r="VLW23" s="65"/>
      <c r="VLX23" s="65"/>
      <c r="VLY23" s="65"/>
      <c r="VLZ23" s="65"/>
      <c r="VMA23" s="65"/>
      <c r="VMB23" s="65"/>
      <c r="VMC23" s="65"/>
      <c r="VMD23" s="65"/>
      <c r="VME23" s="65"/>
      <c r="VMF23" s="65"/>
      <c r="VMG23" s="65"/>
      <c r="VMH23" s="65"/>
      <c r="VMI23" s="65"/>
      <c r="VMJ23" s="65"/>
      <c r="VMK23" s="65"/>
      <c r="VML23" s="65"/>
      <c r="VMM23" s="65"/>
      <c r="VMN23" s="65"/>
      <c r="VMO23" s="65"/>
      <c r="VMP23" s="65"/>
      <c r="VMQ23" s="65"/>
      <c r="VMR23" s="65"/>
      <c r="VMS23" s="65"/>
      <c r="VMT23" s="65"/>
      <c r="VMU23" s="65"/>
      <c r="VMV23" s="65"/>
      <c r="VMW23" s="65"/>
      <c r="VMX23" s="65"/>
      <c r="VMY23" s="65"/>
      <c r="VMZ23" s="65"/>
      <c r="VNA23" s="65"/>
      <c r="VNB23" s="65"/>
      <c r="VNC23" s="65"/>
      <c r="VND23" s="65"/>
      <c r="VNE23" s="65"/>
      <c r="VNF23" s="65"/>
      <c r="VNG23" s="65"/>
      <c r="VNH23" s="65"/>
      <c r="VNI23" s="65"/>
      <c r="VNJ23" s="65"/>
      <c r="VNK23" s="65"/>
      <c r="VNL23" s="65"/>
      <c r="VNM23" s="65"/>
      <c r="VNN23" s="65"/>
      <c r="VNO23" s="65"/>
      <c r="VNP23" s="65"/>
      <c r="VNQ23" s="65"/>
      <c r="VNR23" s="65"/>
      <c r="VNS23" s="65"/>
      <c r="VNT23" s="65"/>
      <c r="VNU23" s="65"/>
      <c r="VNV23" s="65"/>
      <c r="VNW23" s="65"/>
      <c r="VNX23" s="65"/>
      <c r="VNY23" s="65"/>
      <c r="VNZ23" s="65"/>
      <c r="VOA23" s="65"/>
      <c r="VOB23" s="65"/>
      <c r="VOC23" s="65"/>
      <c r="VOD23" s="65"/>
      <c r="VOE23" s="65"/>
      <c r="VOF23" s="65"/>
      <c r="VOG23" s="65"/>
      <c r="VOH23" s="65"/>
      <c r="VOI23" s="65"/>
      <c r="VOJ23" s="65"/>
      <c r="VOK23" s="65"/>
      <c r="VOL23" s="65"/>
      <c r="VOM23" s="65"/>
      <c r="VON23" s="65"/>
      <c r="VOO23" s="65"/>
      <c r="VOP23" s="65"/>
      <c r="VOQ23" s="65"/>
      <c r="VOR23" s="65"/>
      <c r="VOS23" s="65"/>
      <c r="VOT23" s="65"/>
      <c r="VOU23" s="65"/>
      <c r="VOV23" s="65"/>
      <c r="VOW23" s="65"/>
      <c r="VOX23" s="65"/>
      <c r="VOY23" s="65"/>
      <c r="VOZ23" s="65"/>
      <c r="VPA23" s="65"/>
      <c r="VPB23" s="65"/>
      <c r="VPC23" s="65"/>
      <c r="VPD23" s="65"/>
      <c r="VPE23" s="65"/>
      <c r="VPF23" s="65"/>
      <c r="VPG23" s="65"/>
      <c r="VPH23" s="65"/>
      <c r="VPI23" s="65"/>
      <c r="VPJ23" s="65"/>
      <c r="VPK23" s="65"/>
      <c r="VPL23" s="65"/>
      <c r="VPM23" s="65"/>
      <c r="VPN23" s="65"/>
      <c r="VPO23" s="65"/>
      <c r="VPP23" s="65"/>
      <c r="VPQ23" s="65"/>
      <c r="VPR23" s="65"/>
      <c r="VPS23" s="65"/>
      <c r="VPT23" s="65"/>
      <c r="VPU23" s="65"/>
      <c r="VPV23" s="65"/>
      <c r="VPW23" s="65"/>
      <c r="VPX23" s="65"/>
      <c r="VPY23" s="65"/>
      <c r="VPZ23" s="65"/>
      <c r="VQA23" s="65"/>
      <c r="VQB23" s="65"/>
      <c r="VQC23" s="65"/>
      <c r="VQD23" s="65"/>
      <c r="VQE23" s="65"/>
      <c r="VQF23" s="65"/>
      <c r="VQG23" s="65"/>
      <c r="VQH23" s="65"/>
      <c r="VQI23" s="65"/>
      <c r="VQJ23" s="65"/>
      <c r="VQK23" s="65"/>
      <c r="VQL23" s="65"/>
      <c r="VQM23" s="65"/>
      <c r="VQN23" s="65"/>
      <c r="VQO23" s="65"/>
      <c r="VQP23" s="65"/>
      <c r="VQQ23" s="65"/>
      <c r="VQR23" s="65"/>
      <c r="VQS23" s="65"/>
      <c r="VQT23" s="65"/>
      <c r="VQU23" s="65"/>
      <c r="VQV23" s="65"/>
      <c r="VQW23" s="65"/>
      <c r="VQX23" s="65"/>
      <c r="VQY23" s="65"/>
      <c r="VQZ23" s="65"/>
      <c r="VRA23" s="65"/>
      <c r="VRB23" s="65"/>
      <c r="VRC23" s="65"/>
      <c r="VRD23" s="65"/>
      <c r="VRE23" s="65"/>
      <c r="VRF23" s="65"/>
      <c r="VRG23" s="65"/>
      <c r="VRH23" s="65"/>
      <c r="VRI23" s="65"/>
      <c r="VRJ23" s="65"/>
      <c r="VRK23" s="65"/>
      <c r="VRL23" s="65"/>
      <c r="VRM23" s="65"/>
      <c r="VRN23" s="65"/>
      <c r="VRO23" s="65"/>
      <c r="VRP23" s="65"/>
      <c r="VRQ23" s="65"/>
      <c r="VRR23" s="65"/>
      <c r="VRS23" s="65"/>
      <c r="VRT23" s="65"/>
      <c r="VRU23" s="65"/>
      <c r="VRV23" s="65"/>
      <c r="VRW23" s="65"/>
      <c r="VRX23" s="65"/>
      <c r="VRY23" s="65"/>
      <c r="VRZ23" s="65"/>
      <c r="VSA23" s="65"/>
      <c r="VSB23" s="65"/>
      <c r="VSC23" s="65"/>
      <c r="VSD23" s="65"/>
      <c r="VSE23" s="65"/>
      <c r="VSF23" s="65"/>
      <c r="VSG23" s="65"/>
      <c r="VSH23" s="65"/>
      <c r="VSI23" s="65"/>
      <c r="VSJ23" s="65"/>
      <c r="VSK23" s="65"/>
      <c r="VSL23" s="65"/>
      <c r="VSM23" s="65"/>
      <c r="VSN23" s="65"/>
      <c r="VSO23" s="65"/>
      <c r="VSP23" s="65"/>
      <c r="VSQ23" s="65"/>
      <c r="VSR23" s="65"/>
      <c r="VSS23" s="65"/>
      <c r="VST23" s="65"/>
      <c r="VSU23" s="65"/>
      <c r="VSV23" s="65"/>
      <c r="VSW23" s="65"/>
      <c r="VSX23" s="65"/>
      <c r="VSY23" s="65"/>
      <c r="VSZ23" s="65"/>
      <c r="VTA23" s="65"/>
      <c r="VTB23" s="65"/>
      <c r="VTC23" s="65"/>
      <c r="VTD23" s="65"/>
      <c r="VTE23" s="65"/>
      <c r="VTF23" s="65"/>
      <c r="VTG23" s="65"/>
      <c r="VTH23" s="65"/>
      <c r="VTI23" s="65"/>
      <c r="VTJ23" s="65"/>
      <c r="VTK23" s="65"/>
      <c r="VTL23" s="65"/>
      <c r="VTM23" s="65"/>
      <c r="VTN23" s="65"/>
      <c r="VTO23" s="65"/>
      <c r="VTP23" s="65"/>
      <c r="VTQ23" s="65"/>
      <c r="VTR23" s="65"/>
      <c r="VTS23" s="65"/>
      <c r="VTT23" s="65"/>
      <c r="VTU23" s="65"/>
      <c r="VTV23" s="65"/>
      <c r="VTW23" s="65"/>
      <c r="VTX23" s="65"/>
      <c r="VTY23" s="65"/>
      <c r="VTZ23" s="65"/>
      <c r="VUA23" s="65"/>
      <c r="VUB23" s="65"/>
      <c r="VUC23" s="65"/>
      <c r="VUD23" s="65"/>
      <c r="VUE23" s="65"/>
      <c r="VUF23" s="65"/>
      <c r="VUG23" s="65"/>
      <c r="VUH23" s="65"/>
      <c r="VUI23" s="65"/>
      <c r="VUJ23" s="65"/>
      <c r="VUK23" s="65"/>
      <c r="VUL23" s="65"/>
      <c r="VUM23" s="65"/>
      <c r="VUN23" s="65"/>
      <c r="VUO23" s="65"/>
      <c r="VUP23" s="65"/>
      <c r="VUQ23" s="65"/>
      <c r="VUR23" s="65"/>
      <c r="VUS23" s="65"/>
      <c r="VUT23" s="65"/>
      <c r="VUU23" s="65"/>
      <c r="VUV23" s="65"/>
      <c r="VUW23" s="65"/>
      <c r="VUX23" s="65"/>
      <c r="VUY23" s="65"/>
      <c r="VUZ23" s="65"/>
      <c r="VVA23" s="65"/>
      <c r="VVB23" s="65"/>
      <c r="VVC23" s="65"/>
      <c r="VVD23" s="65"/>
      <c r="VVE23" s="65"/>
      <c r="VVF23" s="65"/>
      <c r="VVG23" s="65"/>
      <c r="VVH23" s="65"/>
      <c r="VVI23" s="65"/>
      <c r="VVJ23" s="65"/>
      <c r="VVK23" s="65"/>
      <c r="VVL23" s="65"/>
      <c r="VVM23" s="65"/>
      <c r="VVN23" s="65"/>
      <c r="VVO23" s="65"/>
      <c r="VVP23" s="65"/>
      <c r="VVQ23" s="65"/>
      <c r="VVR23" s="65"/>
      <c r="VVS23" s="65"/>
      <c r="VVT23" s="65"/>
      <c r="VVU23" s="65"/>
      <c r="VVV23" s="65"/>
      <c r="VVW23" s="65"/>
      <c r="VVX23" s="65"/>
      <c r="VVY23" s="65"/>
      <c r="VVZ23" s="65"/>
      <c r="VWA23" s="65"/>
      <c r="VWB23" s="65"/>
      <c r="VWC23" s="65"/>
      <c r="VWD23" s="65"/>
      <c r="VWE23" s="65"/>
      <c r="VWF23" s="65"/>
      <c r="VWG23" s="65"/>
      <c r="VWH23" s="65"/>
      <c r="VWI23" s="65"/>
      <c r="VWJ23" s="65"/>
      <c r="VWK23" s="65"/>
      <c r="VWL23" s="65"/>
      <c r="VWM23" s="65"/>
      <c r="VWN23" s="65"/>
      <c r="VWO23" s="65"/>
      <c r="VWP23" s="65"/>
      <c r="VWQ23" s="65"/>
      <c r="VWR23" s="65"/>
      <c r="VWS23" s="65"/>
      <c r="VWT23" s="65"/>
      <c r="VWU23" s="65"/>
      <c r="VWV23" s="65"/>
      <c r="VWW23" s="65"/>
      <c r="VWX23" s="65"/>
      <c r="VWY23" s="65"/>
      <c r="VWZ23" s="65"/>
      <c r="VXA23" s="65"/>
      <c r="VXB23" s="65"/>
      <c r="VXC23" s="65"/>
      <c r="VXD23" s="65"/>
      <c r="VXE23" s="65"/>
      <c r="VXF23" s="65"/>
      <c r="VXG23" s="65"/>
      <c r="VXH23" s="65"/>
      <c r="VXI23" s="65"/>
      <c r="VXJ23" s="65"/>
      <c r="VXK23" s="65"/>
      <c r="VXL23" s="65"/>
      <c r="VXM23" s="65"/>
      <c r="VXN23" s="65"/>
      <c r="VXO23" s="65"/>
      <c r="VXP23" s="65"/>
      <c r="VXQ23" s="65"/>
      <c r="VXR23" s="65"/>
      <c r="VXS23" s="65"/>
      <c r="VXT23" s="65"/>
      <c r="VXU23" s="65"/>
      <c r="VXV23" s="65"/>
      <c r="VXW23" s="65"/>
      <c r="VXX23" s="65"/>
      <c r="VXY23" s="65"/>
      <c r="VXZ23" s="65"/>
      <c r="VYA23" s="65"/>
      <c r="VYB23" s="65"/>
      <c r="VYC23" s="65"/>
      <c r="VYD23" s="65"/>
      <c r="VYE23" s="65"/>
      <c r="VYF23" s="65"/>
      <c r="VYG23" s="65"/>
      <c r="VYH23" s="65"/>
      <c r="VYI23" s="65"/>
      <c r="VYJ23" s="65"/>
      <c r="VYK23" s="65"/>
      <c r="VYL23" s="65"/>
      <c r="VYM23" s="65"/>
      <c r="VYN23" s="65"/>
      <c r="VYO23" s="65"/>
      <c r="VYP23" s="65"/>
      <c r="VYQ23" s="65"/>
      <c r="VYR23" s="65"/>
      <c r="VYS23" s="65"/>
      <c r="VYT23" s="65"/>
      <c r="VYU23" s="65"/>
      <c r="VYV23" s="65"/>
      <c r="VYW23" s="65"/>
      <c r="VYX23" s="65"/>
      <c r="VYY23" s="65"/>
      <c r="VYZ23" s="65"/>
      <c r="VZA23" s="65"/>
      <c r="VZB23" s="65"/>
      <c r="VZC23" s="65"/>
      <c r="VZD23" s="65"/>
      <c r="VZE23" s="65"/>
      <c r="VZF23" s="65"/>
      <c r="VZG23" s="65"/>
      <c r="VZH23" s="65"/>
      <c r="VZI23" s="65"/>
      <c r="VZJ23" s="65"/>
      <c r="VZK23" s="65"/>
      <c r="VZL23" s="65"/>
      <c r="VZM23" s="65"/>
      <c r="VZN23" s="65"/>
      <c r="VZO23" s="65"/>
      <c r="VZP23" s="65"/>
      <c r="VZQ23" s="65"/>
      <c r="VZR23" s="65"/>
      <c r="VZS23" s="65"/>
      <c r="VZT23" s="65"/>
      <c r="VZU23" s="65"/>
      <c r="VZV23" s="65"/>
      <c r="VZW23" s="65"/>
      <c r="VZX23" s="65"/>
      <c r="VZY23" s="65"/>
      <c r="VZZ23" s="65"/>
      <c r="WAA23" s="65"/>
      <c r="WAB23" s="65"/>
      <c r="WAC23" s="65"/>
      <c r="WAD23" s="65"/>
      <c r="WAE23" s="65"/>
      <c r="WAF23" s="65"/>
      <c r="WAG23" s="65"/>
      <c r="WAH23" s="65"/>
      <c r="WAI23" s="65"/>
      <c r="WAJ23" s="65"/>
      <c r="WAK23" s="65"/>
      <c r="WAL23" s="65"/>
      <c r="WAM23" s="65"/>
      <c r="WAN23" s="65"/>
      <c r="WAO23" s="65"/>
      <c r="WAP23" s="65"/>
      <c r="WAQ23" s="65"/>
      <c r="WAR23" s="65"/>
      <c r="WAS23" s="65"/>
      <c r="WAT23" s="65"/>
      <c r="WAU23" s="65"/>
      <c r="WAV23" s="65"/>
      <c r="WAW23" s="65"/>
      <c r="WAX23" s="65"/>
      <c r="WAY23" s="65"/>
      <c r="WAZ23" s="65"/>
      <c r="WBA23" s="65"/>
      <c r="WBB23" s="65"/>
      <c r="WBC23" s="65"/>
      <c r="WBD23" s="65"/>
      <c r="WBE23" s="65"/>
      <c r="WBF23" s="65"/>
      <c r="WBG23" s="65"/>
      <c r="WBH23" s="65"/>
      <c r="WBI23" s="65"/>
      <c r="WBJ23" s="65"/>
      <c r="WBK23" s="65"/>
      <c r="WBL23" s="65"/>
      <c r="WBM23" s="65"/>
      <c r="WBN23" s="65"/>
      <c r="WBO23" s="65"/>
      <c r="WBP23" s="65"/>
      <c r="WBQ23" s="65"/>
      <c r="WBR23" s="65"/>
      <c r="WBS23" s="65"/>
      <c r="WBT23" s="65"/>
      <c r="WBU23" s="65"/>
      <c r="WBV23" s="65"/>
      <c r="WBW23" s="65"/>
      <c r="WBX23" s="65"/>
      <c r="WBY23" s="65"/>
      <c r="WBZ23" s="65"/>
      <c r="WCA23" s="65"/>
      <c r="WCB23" s="65"/>
      <c r="WCC23" s="65"/>
      <c r="WCD23" s="65"/>
      <c r="WCE23" s="65"/>
      <c r="WCF23" s="65"/>
      <c r="WCG23" s="65"/>
      <c r="WCH23" s="65"/>
      <c r="WCI23" s="65"/>
      <c r="WCJ23" s="65"/>
      <c r="WCK23" s="65"/>
      <c r="WCL23" s="65"/>
      <c r="WCM23" s="65"/>
      <c r="WCN23" s="65"/>
      <c r="WCO23" s="65"/>
      <c r="WCP23" s="65"/>
      <c r="WCQ23" s="65"/>
      <c r="WCR23" s="65"/>
      <c r="WCS23" s="65"/>
      <c r="WCT23" s="65"/>
      <c r="WCU23" s="65"/>
      <c r="WCV23" s="65"/>
      <c r="WCW23" s="65"/>
      <c r="WCX23" s="65"/>
      <c r="WCY23" s="65"/>
      <c r="WCZ23" s="65"/>
      <c r="WDA23" s="65"/>
      <c r="WDB23" s="65"/>
      <c r="WDC23" s="65"/>
      <c r="WDD23" s="65"/>
      <c r="WDE23" s="65"/>
      <c r="WDF23" s="65"/>
      <c r="WDG23" s="65"/>
      <c r="WDH23" s="65"/>
      <c r="WDI23" s="65"/>
      <c r="WDJ23" s="65"/>
      <c r="WDK23" s="65"/>
      <c r="WDL23" s="65"/>
      <c r="WDM23" s="65"/>
      <c r="WDN23" s="65"/>
      <c r="WDO23" s="65"/>
      <c r="WDP23" s="65"/>
      <c r="WDQ23" s="65"/>
      <c r="WDR23" s="65"/>
      <c r="WDS23" s="65"/>
      <c r="WDT23" s="65"/>
      <c r="WDU23" s="65"/>
      <c r="WDV23" s="65"/>
      <c r="WDW23" s="65"/>
      <c r="WDX23" s="65"/>
      <c r="WDY23" s="65"/>
      <c r="WDZ23" s="65"/>
      <c r="WEA23" s="65"/>
      <c r="WEB23" s="65"/>
      <c r="WEC23" s="65"/>
      <c r="WED23" s="65"/>
      <c r="WEE23" s="65"/>
      <c r="WEF23" s="65"/>
      <c r="WEG23" s="65"/>
      <c r="WEH23" s="65"/>
      <c r="WEI23" s="65"/>
      <c r="WEJ23" s="65"/>
      <c r="WEK23" s="65"/>
      <c r="WEL23" s="65"/>
      <c r="WEM23" s="65"/>
      <c r="WEN23" s="65"/>
      <c r="WEO23" s="65"/>
      <c r="WEP23" s="65"/>
      <c r="WEQ23" s="65"/>
      <c r="WER23" s="65"/>
      <c r="WES23" s="65"/>
      <c r="WET23" s="65"/>
      <c r="WEU23" s="65"/>
      <c r="WEV23" s="65"/>
      <c r="WEW23" s="65"/>
      <c r="WEX23" s="65"/>
      <c r="WEY23" s="65"/>
      <c r="WEZ23" s="65"/>
      <c r="WFA23" s="65"/>
      <c r="WFB23" s="65"/>
      <c r="WFC23" s="65"/>
      <c r="WFD23" s="65"/>
      <c r="WFE23" s="65"/>
      <c r="WFF23" s="65"/>
      <c r="WFG23" s="65"/>
      <c r="WFH23" s="65"/>
      <c r="WFI23" s="65"/>
      <c r="WFJ23" s="65"/>
      <c r="WFK23" s="65"/>
      <c r="WFL23" s="65"/>
      <c r="WFM23" s="65"/>
      <c r="WFN23" s="65"/>
      <c r="WFO23" s="65"/>
      <c r="WFP23" s="65"/>
      <c r="WFQ23" s="65"/>
      <c r="WFR23" s="65"/>
      <c r="WFS23" s="65"/>
      <c r="WFT23" s="65"/>
      <c r="WFU23" s="65"/>
      <c r="WFV23" s="65"/>
      <c r="WFW23" s="65"/>
      <c r="WFX23" s="65"/>
      <c r="WFY23" s="65"/>
      <c r="WFZ23" s="65"/>
      <c r="WGA23" s="65"/>
      <c r="WGB23" s="65"/>
      <c r="WGC23" s="65"/>
      <c r="WGD23" s="65"/>
      <c r="WGE23" s="65"/>
      <c r="WGF23" s="65"/>
      <c r="WGG23" s="65"/>
      <c r="WGH23" s="65"/>
      <c r="WGI23" s="65"/>
      <c r="WGJ23" s="65"/>
      <c r="WGK23" s="65"/>
      <c r="WGL23" s="65"/>
      <c r="WGM23" s="65"/>
      <c r="WGN23" s="65"/>
      <c r="WGO23" s="65"/>
      <c r="WGP23" s="65"/>
      <c r="WGQ23" s="65"/>
      <c r="WGR23" s="65"/>
      <c r="WGS23" s="65"/>
      <c r="WGT23" s="65"/>
      <c r="WGU23" s="65"/>
      <c r="WGV23" s="65"/>
      <c r="WGW23" s="65"/>
      <c r="WGX23" s="65"/>
      <c r="WGY23" s="65"/>
      <c r="WGZ23" s="65"/>
      <c r="WHA23" s="65"/>
      <c r="WHB23" s="65"/>
      <c r="WHC23" s="65"/>
      <c r="WHD23" s="65"/>
      <c r="WHE23" s="65"/>
      <c r="WHF23" s="65"/>
      <c r="WHG23" s="65"/>
      <c r="WHH23" s="65"/>
      <c r="WHI23" s="65"/>
      <c r="WHJ23" s="65"/>
      <c r="WHK23" s="65"/>
      <c r="WHL23" s="65"/>
      <c r="WHM23" s="65"/>
      <c r="WHN23" s="65"/>
      <c r="WHO23" s="65"/>
      <c r="WHP23" s="65"/>
      <c r="WHQ23" s="65"/>
      <c r="WHR23" s="65"/>
      <c r="WHS23" s="65"/>
      <c r="WHT23" s="65"/>
      <c r="WHU23" s="65"/>
      <c r="WHV23" s="65"/>
      <c r="WHW23" s="65"/>
      <c r="WHX23" s="65"/>
      <c r="WHY23" s="65"/>
      <c r="WHZ23" s="65"/>
      <c r="WIA23" s="65"/>
      <c r="WIB23" s="65"/>
      <c r="WIC23" s="65"/>
      <c r="WID23" s="65"/>
      <c r="WIE23" s="65"/>
      <c r="WIF23" s="65"/>
      <c r="WIG23" s="65"/>
      <c r="WIH23" s="65"/>
      <c r="WII23" s="65"/>
      <c r="WIJ23" s="65"/>
      <c r="WIK23" s="65"/>
      <c r="WIL23" s="65"/>
      <c r="WIM23" s="65"/>
      <c r="WIN23" s="65"/>
      <c r="WIO23" s="65"/>
      <c r="WIP23" s="65"/>
      <c r="WIQ23" s="65"/>
      <c r="WIR23" s="65"/>
      <c r="WIS23" s="65"/>
      <c r="WIT23" s="65"/>
      <c r="WIU23" s="65"/>
      <c r="WIV23" s="65"/>
      <c r="WIW23" s="65"/>
      <c r="WIX23" s="65"/>
      <c r="WIY23" s="65"/>
      <c r="WIZ23" s="65"/>
      <c r="WJA23" s="65"/>
      <c r="WJB23" s="65"/>
      <c r="WJC23" s="65"/>
      <c r="WJD23" s="65"/>
      <c r="WJE23" s="65"/>
      <c r="WJF23" s="65"/>
      <c r="WJG23" s="65"/>
      <c r="WJH23" s="65"/>
      <c r="WJI23" s="65"/>
      <c r="WJJ23" s="65"/>
      <c r="WJK23" s="65"/>
      <c r="WJL23" s="65"/>
      <c r="WJM23" s="65"/>
      <c r="WJN23" s="65"/>
      <c r="WJO23" s="65"/>
      <c r="WJP23" s="65"/>
      <c r="WJQ23" s="65"/>
      <c r="WJR23" s="65"/>
      <c r="WJS23" s="65"/>
      <c r="WJT23" s="65"/>
      <c r="WJU23" s="65"/>
      <c r="WJV23" s="65"/>
      <c r="WJW23" s="65"/>
      <c r="WJX23" s="65"/>
      <c r="WJY23" s="65"/>
      <c r="WJZ23" s="65"/>
      <c r="WKA23" s="65"/>
      <c r="WKB23" s="65"/>
      <c r="WKC23" s="65"/>
      <c r="WKD23" s="65"/>
      <c r="WKE23" s="65"/>
      <c r="WKF23" s="65"/>
      <c r="WKG23" s="65"/>
      <c r="WKH23" s="65"/>
      <c r="WKI23" s="65"/>
      <c r="WKJ23" s="65"/>
      <c r="WKK23" s="65"/>
      <c r="WKL23" s="65"/>
      <c r="WKM23" s="65"/>
      <c r="WKN23" s="65"/>
      <c r="WKO23" s="65"/>
      <c r="WKP23" s="65"/>
      <c r="WKQ23" s="65"/>
      <c r="WKR23" s="65"/>
      <c r="WKS23" s="65"/>
      <c r="WKT23" s="65"/>
      <c r="WKU23" s="65"/>
      <c r="WKV23" s="65"/>
      <c r="WKW23" s="65"/>
      <c r="WKX23" s="65"/>
      <c r="WKY23" s="65"/>
      <c r="WKZ23" s="65"/>
      <c r="WLA23" s="65"/>
      <c r="WLB23" s="65"/>
      <c r="WLC23" s="65"/>
      <c r="WLD23" s="65"/>
      <c r="WLE23" s="65"/>
      <c r="WLF23" s="65"/>
      <c r="WLG23" s="65"/>
      <c r="WLH23" s="65"/>
      <c r="WLI23" s="65"/>
      <c r="WLJ23" s="65"/>
      <c r="WLK23" s="65"/>
      <c r="WLL23" s="65"/>
      <c r="WLM23" s="65"/>
      <c r="WLN23" s="65"/>
      <c r="WLO23" s="65"/>
      <c r="WLP23" s="65"/>
      <c r="WLQ23" s="65"/>
      <c r="WLR23" s="65"/>
      <c r="WLS23" s="65"/>
      <c r="WLT23" s="65"/>
      <c r="WLU23" s="65"/>
      <c r="WLV23" s="65"/>
      <c r="WLW23" s="65"/>
      <c r="WLX23" s="65"/>
      <c r="WLY23" s="65"/>
      <c r="WLZ23" s="65"/>
      <c r="WMA23" s="65"/>
      <c r="WMB23" s="65"/>
      <c r="WMC23" s="65"/>
      <c r="WMD23" s="65"/>
      <c r="WME23" s="65"/>
      <c r="WMF23" s="65"/>
      <c r="WMG23" s="65"/>
      <c r="WMH23" s="65"/>
      <c r="WMI23" s="65"/>
      <c r="WMJ23" s="65"/>
      <c r="WMK23" s="65"/>
      <c r="WML23" s="65"/>
      <c r="WMM23" s="65"/>
      <c r="WMN23" s="65"/>
      <c r="WMO23" s="65"/>
      <c r="WMP23" s="65"/>
      <c r="WMQ23" s="65"/>
      <c r="WMR23" s="65"/>
      <c r="WMS23" s="65"/>
      <c r="WMT23" s="65"/>
      <c r="WMU23" s="65"/>
      <c r="WMV23" s="65"/>
      <c r="WMW23" s="65"/>
      <c r="WMX23" s="65"/>
      <c r="WMY23" s="65"/>
      <c r="WMZ23" s="65"/>
      <c r="WNA23" s="65"/>
      <c r="WNB23" s="65"/>
      <c r="WNC23" s="65"/>
      <c r="WND23" s="65"/>
      <c r="WNE23" s="65"/>
      <c r="WNF23" s="65"/>
      <c r="WNG23" s="65"/>
      <c r="WNH23" s="65"/>
      <c r="WNI23" s="65"/>
      <c r="WNJ23" s="65"/>
      <c r="WNK23" s="65"/>
      <c r="WNL23" s="65"/>
      <c r="WNM23" s="65"/>
      <c r="WNN23" s="65"/>
      <c r="WNO23" s="65"/>
      <c r="WNP23" s="65"/>
      <c r="WNQ23" s="65"/>
      <c r="WNR23" s="65"/>
      <c r="WNS23" s="65"/>
      <c r="WNT23" s="65"/>
      <c r="WNU23" s="65"/>
      <c r="WNV23" s="65"/>
      <c r="WNW23" s="65"/>
      <c r="WNX23" s="65"/>
      <c r="WNY23" s="65"/>
      <c r="WNZ23" s="65"/>
      <c r="WOA23" s="65"/>
      <c r="WOB23" s="65"/>
      <c r="WOC23" s="65"/>
      <c r="WOD23" s="65"/>
      <c r="WOE23" s="65"/>
      <c r="WOF23" s="65"/>
      <c r="WOG23" s="65"/>
      <c r="WOH23" s="65"/>
      <c r="WOI23" s="65"/>
      <c r="WOJ23" s="65"/>
      <c r="WOK23" s="65"/>
      <c r="WOL23" s="65"/>
      <c r="WOM23" s="65"/>
      <c r="WON23" s="65"/>
      <c r="WOO23" s="65"/>
      <c r="WOP23" s="65"/>
      <c r="WOQ23" s="65"/>
      <c r="WOR23" s="65"/>
      <c r="WOS23" s="65"/>
      <c r="WOT23" s="65"/>
      <c r="WOU23" s="65"/>
      <c r="WOV23" s="65"/>
      <c r="WOW23" s="65"/>
      <c r="WOX23" s="65"/>
      <c r="WOY23" s="65"/>
      <c r="WOZ23" s="65"/>
      <c r="WPA23" s="65"/>
      <c r="WPB23" s="65"/>
      <c r="WPC23" s="65"/>
      <c r="WPD23" s="65"/>
      <c r="WPE23" s="65"/>
      <c r="WPF23" s="65"/>
      <c r="WPG23" s="65"/>
      <c r="WPH23" s="65"/>
      <c r="WPI23" s="65"/>
      <c r="WPJ23" s="65"/>
      <c r="WPK23" s="65"/>
      <c r="WPL23" s="65"/>
      <c r="WPM23" s="65"/>
      <c r="WPN23" s="65"/>
      <c r="WPO23" s="65"/>
      <c r="WPP23" s="65"/>
      <c r="WPQ23" s="65"/>
      <c r="WPR23" s="65"/>
      <c r="WPS23" s="65"/>
      <c r="WPT23" s="65"/>
      <c r="WPU23" s="65"/>
      <c r="WPV23" s="65"/>
      <c r="WPW23" s="65"/>
      <c r="WPX23" s="65"/>
      <c r="WPY23" s="65"/>
      <c r="WPZ23" s="65"/>
      <c r="WQA23" s="65"/>
      <c r="WQB23" s="65"/>
      <c r="WQC23" s="65"/>
      <c r="WQD23" s="65"/>
      <c r="WQE23" s="65"/>
      <c r="WQF23" s="65"/>
      <c r="WQG23" s="65"/>
      <c r="WQH23" s="65"/>
      <c r="WQI23" s="65"/>
      <c r="WQJ23" s="65"/>
      <c r="WQK23" s="65"/>
      <c r="WQL23" s="65"/>
      <c r="WQM23" s="65"/>
      <c r="WQN23" s="65"/>
      <c r="WQO23" s="65"/>
      <c r="WQP23" s="65"/>
      <c r="WQQ23" s="65"/>
      <c r="WQR23" s="65"/>
      <c r="WQS23" s="65"/>
      <c r="WQT23" s="65"/>
      <c r="WQU23" s="65"/>
      <c r="WQV23" s="65"/>
      <c r="WQW23" s="65"/>
      <c r="WQX23" s="65"/>
      <c r="WQY23" s="65"/>
      <c r="WQZ23" s="65"/>
      <c r="WRA23" s="65"/>
      <c r="WRB23" s="65"/>
      <c r="WRC23" s="65"/>
      <c r="WRD23" s="65"/>
      <c r="WRE23" s="65"/>
      <c r="WRF23" s="65"/>
      <c r="WRG23" s="65"/>
      <c r="WRH23" s="65"/>
      <c r="WRI23" s="65"/>
      <c r="WRJ23" s="65"/>
      <c r="WRK23" s="65"/>
      <c r="WRL23" s="65"/>
      <c r="WRM23" s="65"/>
      <c r="WRN23" s="65"/>
      <c r="WRO23" s="65"/>
      <c r="WRP23" s="65"/>
      <c r="WRQ23" s="65"/>
      <c r="WRR23" s="65"/>
      <c r="WRS23" s="65"/>
      <c r="WRT23" s="65"/>
      <c r="WRU23" s="65"/>
      <c r="WRV23" s="65"/>
      <c r="WRW23" s="65"/>
      <c r="WRX23" s="65"/>
      <c r="WRY23" s="65"/>
      <c r="WRZ23" s="65"/>
      <c r="WSA23" s="65"/>
      <c r="WSB23" s="65"/>
      <c r="WSC23" s="65"/>
      <c r="WSD23" s="65"/>
      <c r="WSE23" s="65"/>
      <c r="WSF23" s="65"/>
      <c r="WSG23" s="65"/>
      <c r="WSH23" s="65"/>
      <c r="WSI23" s="65"/>
      <c r="WSJ23" s="65"/>
      <c r="WSK23" s="65"/>
      <c r="WSL23" s="65"/>
      <c r="WSM23" s="65"/>
      <c r="WSN23" s="65"/>
      <c r="WSO23" s="65"/>
      <c r="WSP23" s="65"/>
      <c r="WSQ23" s="65"/>
      <c r="WSR23" s="65"/>
      <c r="WSS23" s="65"/>
      <c r="WST23" s="65"/>
      <c r="WSU23" s="65"/>
      <c r="WSV23" s="65"/>
      <c r="WSW23" s="65"/>
      <c r="WSX23" s="65"/>
      <c r="WSY23" s="65"/>
      <c r="WSZ23" s="65"/>
      <c r="WTA23" s="65"/>
      <c r="WTB23" s="65"/>
      <c r="WTC23" s="65"/>
      <c r="WTD23" s="65"/>
      <c r="WTE23" s="65"/>
      <c r="WTF23" s="65"/>
      <c r="WTG23" s="65"/>
      <c r="WTH23" s="65"/>
      <c r="WTI23" s="65"/>
      <c r="WTJ23" s="65"/>
      <c r="WTK23" s="65"/>
      <c r="WTL23" s="65"/>
      <c r="WTM23" s="65"/>
      <c r="WTN23" s="65"/>
      <c r="WTO23" s="65"/>
      <c r="WTP23" s="65"/>
      <c r="WTQ23" s="65"/>
      <c r="WTR23" s="65"/>
      <c r="WTS23" s="65"/>
      <c r="WTT23" s="65"/>
      <c r="WTU23" s="65"/>
      <c r="WTV23" s="65"/>
      <c r="WTW23" s="65"/>
      <c r="WTX23" s="65"/>
      <c r="WTY23" s="65"/>
      <c r="WTZ23" s="65"/>
      <c r="WUA23" s="65"/>
      <c r="WUB23" s="65"/>
      <c r="WUC23" s="65"/>
      <c r="WUD23" s="65"/>
      <c r="WUE23" s="65"/>
      <c r="WUF23" s="65"/>
      <c r="WUG23" s="65"/>
      <c r="WUH23" s="65"/>
      <c r="WUI23" s="65"/>
      <c r="WUJ23" s="65"/>
      <c r="WUK23" s="65"/>
      <c r="WUL23" s="65"/>
      <c r="WUM23" s="65"/>
      <c r="WUN23" s="65"/>
      <c r="WUO23" s="65"/>
      <c r="WUP23" s="65"/>
      <c r="WUQ23" s="65"/>
      <c r="WUR23" s="65"/>
      <c r="WUS23" s="65"/>
      <c r="WUT23" s="65"/>
      <c r="WUU23" s="65"/>
      <c r="WUV23" s="65"/>
      <c r="WUW23" s="65"/>
      <c r="WUX23" s="65"/>
      <c r="WUY23" s="65"/>
      <c r="WUZ23" s="65"/>
      <c r="WVA23" s="65"/>
      <c r="WVB23" s="65"/>
      <c r="WVC23" s="65"/>
      <c r="WVD23" s="65"/>
      <c r="WVE23" s="65"/>
      <c r="WVF23" s="65"/>
      <c r="WVG23" s="65"/>
      <c r="WVH23" s="65"/>
      <c r="WVI23" s="65"/>
      <c r="WVJ23" s="65"/>
      <c r="WVK23" s="65"/>
      <c r="WVL23" s="65"/>
      <c r="WVM23" s="65"/>
      <c r="WVN23" s="65"/>
      <c r="WVO23" s="65"/>
      <c r="WVP23" s="65"/>
      <c r="WVQ23" s="65"/>
      <c r="WVR23" s="65"/>
      <c r="WVS23" s="65"/>
      <c r="WVT23" s="65"/>
      <c r="WVU23" s="65"/>
      <c r="WVV23" s="65"/>
      <c r="WVW23" s="65"/>
      <c r="WVX23" s="65"/>
      <c r="WVY23" s="65"/>
      <c r="WVZ23" s="65"/>
      <c r="WWA23" s="65"/>
      <c r="WWB23" s="65"/>
      <c r="WWC23" s="65"/>
      <c r="WWD23" s="65"/>
      <c r="WWE23" s="65"/>
      <c r="WWF23" s="65"/>
      <c r="WWG23" s="65"/>
      <c r="WWH23" s="65"/>
      <c r="WWI23" s="65"/>
      <c r="WWJ23" s="65"/>
      <c r="WWK23" s="65"/>
      <c r="WWL23" s="65"/>
      <c r="WWM23" s="65"/>
      <c r="WWN23" s="65"/>
      <c r="WWO23" s="65"/>
      <c r="WWP23" s="65"/>
      <c r="WWQ23" s="65"/>
      <c r="WWR23" s="65"/>
      <c r="WWS23" s="65"/>
      <c r="WWT23" s="65"/>
      <c r="WWU23" s="65"/>
      <c r="WWV23" s="65"/>
      <c r="WWW23" s="65"/>
      <c r="WWX23" s="65"/>
      <c r="WWY23" s="65"/>
      <c r="WWZ23" s="65"/>
      <c r="WXA23" s="65"/>
      <c r="WXB23" s="65"/>
      <c r="WXC23" s="65"/>
      <c r="WXD23" s="65"/>
      <c r="WXE23" s="65"/>
      <c r="WXF23" s="65"/>
      <c r="WXG23" s="65"/>
      <c r="WXH23" s="65"/>
      <c r="WXI23" s="65"/>
      <c r="WXJ23" s="65"/>
      <c r="WXK23" s="65"/>
      <c r="WXL23" s="65"/>
      <c r="WXM23" s="65"/>
      <c r="WXN23" s="65"/>
      <c r="WXO23" s="65"/>
      <c r="WXP23" s="65"/>
      <c r="WXQ23" s="65"/>
      <c r="WXR23" s="65"/>
      <c r="WXS23" s="65"/>
      <c r="WXT23" s="65"/>
      <c r="WXU23" s="65"/>
      <c r="WXV23" s="65"/>
      <c r="WXW23" s="65"/>
      <c r="WXX23" s="65"/>
      <c r="WXY23" s="65"/>
      <c r="WXZ23" s="65"/>
      <c r="WYA23" s="65"/>
      <c r="WYB23" s="65"/>
      <c r="WYC23" s="65"/>
      <c r="WYD23" s="65"/>
      <c r="WYE23" s="65"/>
      <c r="WYF23" s="65"/>
      <c r="WYG23" s="65"/>
      <c r="WYH23" s="65"/>
      <c r="WYI23" s="65"/>
      <c r="WYJ23" s="65"/>
      <c r="WYK23" s="65"/>
      <c r="WYL23" s="65"/>
      <c r="WYM23" s="65"/>
      <c r="WYN23" s="65"/>
      <c r="WYO23" s="65"/>
      <c r="WYP23" s="65"/>
      <c r="WYQ23" s="65"/>
      <c r="WYR23" s="65"/>
      <c r="WYS23" s="65"/>
      <c r="WYT23" s="65"/>
      <c r="WYU23" s="65"/>
      <c r="WYV23" s="65"/>
      <c r="WYW23" s="65"/>
      <c r="WYX23" s="65"/>
      <c r="WYY23" s="65"/>
      <c r="WYZ23" s="65"/>
      <c r="WZA23" s="65"/>
      <c r="WZB23" s="65"/>
      <c r="WZC23" s="65"/>
      <c r="WZD23" s="65"/>
      <c r="WZE23" s="65"/>
      <c r="WZF23" s="65"/>
      <c r="WZG23" s="65"/>
      <c r="WZH23" s="65"/>
      <c r="WZI23" s="65"/>
      <c r="WZJ23" s="65"/>
      <c r="WZK23" s="65"/>
      <c r="WZL23" s="65"/>
      <c r="WZM23" s="65"/>
      <c r="WZN23" s="65"/>
      <c r="WZO23" s="65"/>
      <c r="WZP23" s="65"/>
      <c r="WZQ23" s="65"/>
      <c r="WZR23" s="65"/>
      <c r="WZS23" s="65"/>
      <c r="WZT23" s="65"/>
      <c r="WZU23" s="65"/>
      <c r="WZV23" s="65"/>
      <c r="WZW23" s="65"/>
      <c r="WZX23" s="65"/>
      <c r="WZY23" s="65"/>
      <c r="WZZ23" s="65"/>
      <c r="XAA23" s="65"/>
      <c r="XAB23" s="65"/>
      <c r="XAC23" s="65"/>
      <c r="XAD23" s="65"/>
      <c r="XAE23" s="65"/>
      <c r="XAF23" s="65"/>
      <c r="XAG23" s="65"/>
      <c r="XAH23" s="65"/>
      <c r="XAI23" s="65"/>
      <c r="XAJ23" s="65"/>
      <c r="XAK23" s="65"/>
      <c r="XAL23" s="65"/>
      <c r="XAM23" s="65"/>
      <c r="XAN23" s="65"/>
      <c r="XAO23" s="65"/>
      <c r="XAP23" s="65"/>
      <c r="XAQ23" s="65"/>
      <c r="XAR23" s="65"/>
      <c r="XAS23" s="65"/>
      <c r="XAT23" s="65"/>
      <c r="XAU23" s="65"/>
      <c r="XAV23" s="65"/>
      <c r="XAW23" s="65"/>
      <c r="XAX23" s="65"/>
      <c r="XAY23" s="65"/>
      <c r="XAZ23" s="65"/>
      <c r="XBA23" s="65"/>
      <c r="XBB23" s="65"/>
      <c r="XBC23" s="65"/>
      <c r="XBD23" s="65"/>
      <c r="XBE23" s="65"/>
      <c r="XBF23" s="65"/>
      <c r="XBG23" s="65"/>
      <c r="XBH23" s="65"/>
      <c r="XBI23" s="65"/>
      <c r="XBJ23" s="65"/>
      <c r="XBK23" s="65"/>
      <c r="XBL23" s="65"/>
      <c r="XBM23" s="65"/>
      <c r="XBN23" s="65"/>
      <c r="XBO23" s="65"/>
      <c r="XBP23" s="65"/>
      <c r="XBQ23" s="65"/>
      <c r="XBR23" s="65"/>
      <c r="XBS23" s="65"/>
      <c r="XBT23" s="65"/>
      <c r="XBU23" s="65"/>
      <c r="XBV23" s="65"/>
      <c r="XBW23" s="65"/>
      <c r="XBX23" s="65"/>
      <c r="XBY23" s="65"/>
      <c r="XBZ23" s="65"/>
      <c r="XCA23" s="65"/>
      <c r="XCB23" s="65"/>
      <c r="XCC23" s="65"/>
      <c r="XCD23" s="65"/>
      <c r="XCE23" s="65"/>
      <c r="XCF23" s="65"/>
      <c r="XCG23" s="65"/>
      <c r="XCH23" s="65"/>
      <c r="XCI23" s="65"/>
      <c r="XCJ23" s="65"/>
      <c r="XCK23" s="65"/>
      <c r="XCL23" s="65"/>
      <c r="XCM23" s="65"/>
      <c r="XCN23" s="65"/>
      <c r="XCO23" s="65"/>
      <c r="XCP23" s="65"/>
      <c r="XCQ23" s="65"/>
      <c r="XCR23" s="65"/>
      <c r="XCS23" s="65"/>
      <c r="XCT23" s="65"/>
      <c r="XCU23" s="65"/>
      <c r="XCV23" s="65"/>
      <c r="XCW23" s="65"/>
      <c r="XCX23" s="65"/>
      <c r="XCY23" s="65"/>
      <c r="XCZ23" s="65"/>
      <c r="XDA23" s="65"/>
      <c r="XDB23" s="65"/>
      <c r="XDC23" s="65"/>
      <c r="XDD23" s="65"/>
      <c r="XDE23" s="65"/>
      <c r="XDF23" s="65"/>
      <c r="XDG23" s="65"/>
      <c r="XDH23" s="65"/>
      <c r="XDI23" s="65"/>
      <c r="XDJ23" s="65"/>
      <c r="XDK23" s="65"/>
      <c r="XDL23" s="65"/>
      <c r="XDM23" s="65"/>
      <c r="XDN23" s="65"/>
      <c r="XDO23" s="65"/>
      <c r="XDP23" s="65"/>
      <c r="XDQ23" s="65"/>
      <c r="XDR23" s="65"/>
      <c r="XDS23" s="65"/>
      <c r="XDT23" s="65"/>
      <c r="XDU23" s="65"/>
      <c r="XDV23" s="65"/>
      <c r="XDW23" s="65"/>
      <c r="XDX23" s="65"/>
      <c r="XDY23" s="65"/>
      <c r="XDZ23" s="65"/>
      <c r="XEA23" s="65"/>
      <c r="XEB23" s="65"/>
      <c r="XEC23" s="65"/>
      <c r="XED23" s="65"/>
      <c r="XEE23" s="65"/>
      <c r="XEF23" s="65"/>
      <c r="XEG23" s="65"/>
      <c r="XEH23" s="65"/>
      <c r="XEI23" s="65"/>
      <c r="XEJ23" s="65"/>
      <c r="XEK23" s="65"/>
      <c r="XEL23" s="65"/>
      <c r="XEM23" s="65"/>
      <c r="XEN23" s="65"/>
      <c r="XEO23" s="65"/>
      <c r="XEP23" s="65"/>
      <c r="XEQ23" s="65"/>
      <c r="XER23" s="65"/>
      <c r="XES23" s="65"/>
      <c r="XET23" s="65"/>
      <c r="XEU23" s="65"/>
      <c r="XEV23" s="65"/>
      <c r="XEW23" s="65"/>
      <c r="XEX23" s="65"/>
      <c r="XEY23" s="65"/>
      <c r="XEZ23" s="65"/>
      <c r="XFA23" s="65"/>
      <c r="XFB23" s="65"/>
      <c r="XFC23" s="65"/>
      <c r="XFD23" s="65"/>
    </row>
    <row r="24" spans="1:16384" ht="15" customHeight="1">
      <c r="A24" s="51"/>
      <c r="B24" s="51"/>
      <c r="C24" s="51"/>
      <c r="D24" s="51"/>
      <c r="E24" s="51"/>
      <c r="F24" s="51"/>
      <c r="G24" s="51"/>
    </row>
    <row r="26" spans="1:16384" ht="15" customHeight="1">
      <c r="A26" t="s">
        <v>375</v>
      </c>
    </row>
    <row r="35" spans="9:14" ht="15" customHeight="1">
      <c r="I35" s="66" t="s">
        <v>376</v>
      </c>
      <c r="J35" s="66"/>
      <c r="K35" s="66"/>
      <c r="L35" s="66"/>
      <c r="M35" s="66"/>
      <c r="N35" s="66"/>
    </row>
    <row r="36" spans="9:14">
      <c r="I36" s="66"/>
      <c r="J36" s="66"/>
      <c r="K36" s="66"/>
      <c r="L36" s="66"/>
      <c r="M36" s="66"/>
      <c r="N36" s="66"/>
    </row>
  </sheetData>
  <mergeCells count="6556">
    <mergeCell ref="A1:F1"/>
    <mergeCell ref="A3:F3"/>
    <mergeCell ref="I18:N19"/>
    <mergeCell ref="A22:E22"/>
    <mergeCell ref="K22:O22"/>
    <mergeCell ref="P22:T22"/>
    <mergeCell ref="U22:Y22"/>
    <mergeCell ref="Z22:AD22"/>
    <mergeCell ref="AE22:AI22"/>
    <mergeCell ref="AJ22:AN22"/>
    <mergeCell ref="AO22:AS22"/>
    <mergeCell ref="AT22:AX22"/>
    <mergeCell ref="AY22:BC22"/>
    <mergeCell ref="BD22:BH22"/>
    <mergeCell ref="BI22:BM22"/>
    <mergeCell ref="BN22:BR22"/>
    <mergeCell ref="BS22:BW22"/>
    <mergeCell ref="BX22:CB22"/>
    <mergeCell ref="CC22:CG22"/>
    <mergeCell ref="CH22:CL22"/>
    <mergeCell ref="CM22:CQ22"/>
    <mergeCell ref="CR22:CV22"/>
    <mergeCell ref="CW22:DA22"/>
    <mergeCell ref="DB22:DF22"/>
    <mergeCell ref="DG22:DK22"/>
    <mergeCell ref="DL22:DP22"/>
    <mergeCell ref="DQ22:DU22"/>
    <mergeCell ref="DV22:DZ22"/>
    <mergeCell ref="EA22:EE22"/>
    <mergeCell ref="EF22:EJ22"/>
    <mergeCell ref="EK22:EO22"/>
    <mergeCell ref="EP22:ET22"/>
    <mergeCell ref="EU22:EY22"/>
    <mergeCell ref="EZ22:FD22"/>
    <mergeCell ref="FE22:FI22"/>
    <mergeCell ref="FJ22:FN22"/>
    <mergeCell ref="FO22:FS22"/>
    <mergeCell ref="FT22:FX22"/>
    <mergeCell ref="FY22:GC22"/>
    <mergeCell ref="GD22:GH22"/>
    <mergeCell ref="GI22:GM22"/>
    <mergeCell ref="GN22:GR22"/>
    <mergeCell ref="GS22:GW22"/>
    <mergeCell ref="GX22:HB22"/>
    <mergeCell ref="HC22:HG22"/>
    <mergeCell ref="HH22:HL22"/>
    <mergeCell ref="HM22:HQ22"/>
    <mergeCell ref="HR22:HV22"/>
    <mergeCell ref="HW22:IA22"/>
    <mergeCell ref="IB22:IF22"/>
    <mergeCell ref="IG22:IK22"/>
    <mergeCell ref="IL22:IP22"/>
    <mergeCell ref="IQ22:IU22"/>
    <mergeCell ref="IV22:IZ22"/>
    <mergeCell ref="JA22:JE22"/>
    <mergeCell ref="JF22:JJ22"/>
    <mergeCell ref="JK22:JO22"/>
    <mergeCell ref="JP22:JT22"/>
    <mergeCell ref="JU22:JY22"/>
    <mergeCell ref="JZ22:KD22"/>
    <mergeCell ref="KE22:KI22"/>
    <mergeCell ref="KJ22:KN22"/>
    <mergeCell ref="KO22:KS22"/>
    <mergeCell ref="KT22:KX22"/>
    <mergeCell ref="KY22:LC22"/>
    <mergeCell ref="LD22:LH22"/>
    <mergeCell ref="LI22:LM22"/>
    <mergeCell ref="LN22:LR22"/>
    <mergeCell ref="LS22:LW22"/>
    <mergeCell ref="LX22:MB22"/>
    <mergeCell ref="MC22:MG22"/>
    <mergeCell ref="MH22:ML22"/>
    <mergeCell ref="MM22:MQ22"/>
    <mergeCell ref="MR22:MV22"/>
    <mergeCell ref="MW22:NA22"/>
    <mergeCell ref="NB22:NF22"/>
    <mergeCell ref="NG22:NK22"/>
    <mergeCell ref="NL22:NP22"/>
    <mergeCell ref="NQ22:NU22"/>
    <mergeCell ref="NV22:NZ22"/>
    <mergeCell ref="OA22:OE22"/>
    <mergeCell ref="OF22:OJ22"/>
    <mergeCell ref="OK22:OO22"/>
    <mergeCell ref="OP22:OT22"/>
    <mergeCell ref="OU22:OY22"/>
    <mergeCell ref="OZ22:PD22"/>
    <mergeCell ref="PE22:PI22"/>
    <mergeCell ref="PJ22:PN22"/>
    <mergeCell ref="PO22:PS22"/>
    <mergeCell ref="PT22:PX22"/>
    <mergeCell ref="PY22:QC22"/>
    <mergeCell ref="QD22:QH22"/>
    <mergeCell ref="QI22:QM22"/>
    <mergeCell ref="QN22:QR22"/>
    <mergeCell ref="QS22:QW22"/>
    <mergeCell ref="QX22:RB22"/>
    <mergeCell ref="RC22:RG22"/>
    <mergeCell ref="RH22:RL22"/>
    <mergeCell ref="RM22:RQ22"/>
    <mergeCell ref="RR22:RV22"/>
    <mergeCell ref="RW22:SA22"/>
    <mergeCell ref="SB22:SF22"/>
    <mergeCell ref="SG22:SK22"/>
    <mergeCell ref="SL22:SP22"/>
    <mergeCell ref="SQ22:SU22"/>
    <mergeCell ref="SV22:SZ22"/>
    <mergeCell ref="TA22:TE22"/>
    <mergeCell ref="TF22:TJ22"/>
    <mergeCell ref="TK22:TO22"/>
    <mergeCell ref="TP22:TT22"/>
    <mergeCell ref="TU22:TY22"/>
    <mergeCell ref="TZ22:UD22"/>
    <mergeCell ref="UE22:UI22"/>
    <mergeCell ref="UJ22:UN22"/>
    <mergeCell ref="UO22:US22"/>
    <mergeCell ref="UT22:UX22"/>
    <mergeCell ref="UY22:VC22"/>
    <mergeCell ref="VD22:VH22"/>
    <mergeCell ref="VI22:VM22"/>
    <mergeCell ref="VN22:VR22"/>
    <mergeCell ref="VS22:VW22"/>
    <mergeCell ref="VX22:WB22"/>
    <mergeCell ref="WC22:WG22"/>
    <mergeCell ref="WH22:WL22"/>
    <mergeCell ref="WM22:WQ22"/>
    <mergeCell ref="WR22:WV22"/>
    <mergeCell ref="WW22:XA22"/>
    <mergeCell ref="XB22:XF22"/>
    <mergeCell ref="XG22:XK22"/>
    <mergeCell ref="XL22:XP22"/>
    <mergeCell ref="XQ22:XU22"/>
    <mergeCell ref="XV22:XZ22"/>
    <mergeCell ref="YA22:YE22"/>
    <mergeCell ref="YF22:YJ22"/>
    <mergeCell ref="YK22:YO22"/>
    <mergeCell ref="YP22:YT22"/>
    <mergeCell ref="YU22:YY22"/>
    <mergeCell ref="YZ22:ZD22"/>
    <mergeCell ref="ZE22:ZI22"/>
    <mergeCell ref="ZJ22:ZN22"/>
    <mergeCell ref="ZO22:ZS22"/>
    <mergeCell ref="ZT22:ZX22"/>
    <mergeCell ref="ZY22:AAC22"/>
    <mergeCell ref="AAD22:AAH22"/>
    <mergeCell ref="AAI22:AAM22"/>
    <mergeCell ref="AAN22:AAR22"/>
    <mergeCell ref="AAS22:AAW22"/>
    <mergeCell ref="AAX22:ABB22"/>
    <mergeCell ref="ABC22:ABG22"/>
    <mergeCell ref="ABH22:ABL22"/>
    <mergeCell ref="ABM22:ABQ22"/>
    <mergeCell ref="ABR22:ABV22"/>
    <mergeCell ref="ABW22:ACA22"/>
    <mergeCell ref="ACB22:ACF22"/>
    <mergeCell ref="ACG22:ACK22"/>
    <mergeCell ref="ACL22:ACP22"/>
    <mergeCell ref="ACQ22:ACU22"/>
    <mergeCell ref="ACV22:ACZ22"/>
    <mergeCell ref="ADA22:ADE22"/>
    <mergeCell ref="ADF22:ADJ22"/>
    <mergeCell ref="ADK22:ADO22"/>
    <mergeCell ref="ADP22:ADT22"/>
    <mergeCell ref="ADU22:ADY22"/>
    <mergeCell ref="ADZ22:AED22"/>
    <mergeCell ref="AEE22:AEI22"/>
    <mergeCell ref="AEJ22:AEN22"/>
    <mergeCell ref="AEO22:AES22"/>
    <mergeCell ref="AET22:AEX22"/>
    <mergeCell ref="AEY22:AFC22"/>
    <mergeCell ref="AFD22:AFH22"/>
    <mergeCell ref="AFI22:AFM22"/>
    <mergeCell ref="AFN22:AFR22"/>
    <mergeCell ref="AFS22:AFW22"/>
    <mergeCell ref="AFX22:AGB22"/>
    <mergeCell ref="AGC22:AGG22"/>
    <mergeCell ref="AGH22:AGL22"/>
    <mergeCell ref="AGM22:AGQ22"/>
    <mergeCell ref="AGR22:AGV22"/>
    <mergeCell ref="AGW22:AHA22"/>
    <mergeCell ref="AHB22:AHF22"/>
    <mergeCell ref="AHG22:AHK22"/>
    <mergeCell ref="AHL22:AHP22"/>
    <mergeCell ref="AHQ22:AHU22"/>
    <mergeCell ref="AHV22:AHZ22"/>
    <mergeCell ref="AIA22:AIE22"/>
    <mergeCell ref="AIF22:AIJ22"/>
    <mergeCell ref="AIK22:AIO22"/>
    <mergeCell ref="AIP22:AIT22"/>
    <mergeCell ref="AIU22:AIY22"/>
    <mergeCell ref="AIZ22:AJD22"/>
    <mergeCell ref="AJE22:AJI22"/>
    <mergeCell ref="AJJ22:AJN22"/>
    <mergeCell ref="AJO22:AJS22"/>
    <mergeCell ref="AJT22:AJX22"/>
    <mergeCell ref="AJY22:AKC22"/>
    <mergeCell ref="AKD22:AKH22"/>
    <mergeCell ref="AKI22:AKM22"/>
    <mergeCell ref="AKN22:AKR22"/>
    <mergeCell ref="AKS22:AKW22"/>
    <mergeCell ref="AKX22:ALB22"/>
    <mergeCell ref="ALC22:ALG22"/>
    <mergeCell ref="ALH22:ALL22"/>
    <mergeCell ref="ALM22:ALQ22"/>
    <mergeCell ref="ALR22:ALV22"/>
    <mergeCell ref="ALW22:AMA22"/>
    <mergeCell ref="AMB22:AMF22"/>
    <mergeCell ref="AMG22:AMK22"/>
    <mergeCell ref="AML22:AMP22"/>
    <mergeCell ref="AMQ22:AMU22"/>
    <mergeCell ref="AMV22:AMZ22"/>
    <mergeCell ref="ANA22:ANE22"/>
    <mergeCell ref="ANF22:ANJ22"/>
    <mergeCell ref="ANK22:ANO22"/>
    <mergeCell ref="ANP22:ANT22"/>
    <mergeCell ref="ANU22:ANY22"/>
    <mergeCell ref="ANZ22:AOD22"/>
    <mergeCell ref="AOE22:AOI22"/>
    <mergeCell ref="AOJ22:AON22"/>
    <mergeCell ref="AOO22:AOS22"/>
    <mergeCell ref="AOT22:AOX22"/>
    <mergeCell ref="AOY22:APC22"/>
    <mergeCell ref="APD22:APH22"/>
    <mergeCell ref="API22:APM22"/>
    <mergeCell ref="APN22:APR22"/>
    <mergeCell ref="APS22:APW22"/>
    <mergeCell ref="APX22:AQB22"/>
    <mergeCell ref="AQC22:AQG22"/>
    <mergeCell ref="AQH22:AQL22"/>
    <mergeCell ref="AQM22:AQQ22"/>
    <mergeCell ref="AQR22:AQV22"/>
    <mergeCell ref="AQW22:ARA22"/>
    <mergeCell ref="ARB22:ARF22"/>
    <mergeCell ref="ARG22:ARK22"/>
    <mergeCell ref="ARL22:ARP22"/>
    <mergeCell ref="ARQ22:ARU22"/>
    <mergeCell ref="ARV22:ARZ22"/>
    <mergeCell ref="ASA22:ASE22"/>
    <mergeCell ref="ASF22:ASJ22"/>
    <mergeCell ref="ASK22:ASO22"/>
    <mergeCell ref="ASP22:AST22"/>
    <mergeCell ref="ASU22:ASY22"/>
    <mergeCell ref="ASZ22:ATD22"/>
    <mergeCell ref="ATE22:ATI22"/>
    <mergeCell ref="ATJ22:ATN22"/>
    <mergeCell ref="ATO22:ATS22"/>
    <mergeCell ref="ATT22:ATX22"/>
    <mergeCell ref="ATY22:AUC22"/>
    <mergeCell ref="AUD22:AUH22"/>
    <mergeCell ref="AUI22:AUM22"/>
    <mergeCell ref="AUN22:AUR22"/>
    <mergeCell ref="AUS22:AUW22"/>
    <mergeCell ref="AUX22:AVB22"/>
    <mergeCell ref="AVC22:AVG22"/>
    <mergeCell ref="AVH22:AVL22"/>
    <mergeCell ref="AVM22:AVQ22"/>
    <mergeCell ref="AVR22:AVV22"/>
    <mergeCell ref="AVW22:AWA22"/>
    <mergeCell ref="AWB22:AWF22"/>
    <mergeCell ref="AWG22:AWK22"/>
    <mergeCell ref="AWL22:AWP22"/>
    <mergeCell ref="AWQ22:AWU22"/>
    <mergeCell ref="AWV22:AWZ22"/>
    <mergeCell ref="AXA22:AXE22"/>
    <mergeCell ref="AXF22:AXJ22"/>
    <mergeCell ref="AXK22:AXO22"/>
    <mergeCell ref="AXP22:AXT22"/>
    <mergeCell ref="AXU22:AXY22"/>
    <mergeCell ref="AXZ22:AYD22"/>
    <mergeCell ref="AYE22:AYI22"/>
    <mergeCell ref="AYJ22:AYN22"/>
    <mergeCell ref="AYO22:AYS22"/>
    <mergeCell ref="AYT22:AYX22"/>
    <mergeCell ref="AYY22:AZC22"/>
    <mergeCell ref="AZD22:AZH22"/>
    <mergeCell ref="AZI22:AZM22"/>
    <mergeCell ref="AZN22:AZR22"/>
    <mergeCell ref="AZS22:AZW22"/>
    <mergeCell ref="AZX22:BAB22"/>
    <mergeCell ref="BAC22:BAG22"/>
    <mergeCell ref="BAH22:BAL22"/>
    <mergeCell ref="BAM22:BAQ22"/>
    <mergeCell ref="BAR22:BAV22"/>
    <mergeCell ref="BAW22:BBA22"/>
    <mergeCell ref="BBB22:BBF22"/>
    <mergeCell ref="BBG22:BBK22"/>
    <mergeCell ref="BBL22:BBP22"/>
    <mergeCell ref="BBQ22:BBU22"/>
    <mergeCell ref="BBV22:BBZ22"/>
    <mergeCell ref="BCA22:BCE22"/>
    <mergeCell ref="BCF22:BCJ22"/>
    <mergeCell ref="BCK22:BCO22"/>
    <mergeCell ref="BCP22:BCT22"/>
    <mergeCell ref="BCU22:BCY22"/>
    <mergeCell ref="BCZ22:BDD22"/>
    <mergeCell ref="BDE22:BDI22"/>
    <mergeCell ref="BDJ22:BDN22"/>
    <mergeCell ref="BDO22:BDS22"/>
    <mergeCell ref="BDT22:BDX22"/>
    <mergeCell ref="BDY22:BEC22"/>
    <mergeCell ref="BED22:BEH22"/>
    <mergeCell ref="BEI22:BEM22"/>
    <mergeCell ref="BEN22:BER22"/>
    <mergeCell ref="BES22:BEW22"/>
    <mergeCell ref="BEX22:BFB22"/>
    <mergeCell ref="BFC22:BFG22"/>
    <mergeCell ref="BFH22:BFL22"/>
    <mergeCell ref="BFM22:BFQ22"/>
    <mergeCell ref="BFR22:BFV22"/>
    <mergeCell ref="BFW22:BGA22"/>
    <mergeCell ref="BGB22:BGF22"/>
    <mergeCell ref="BGG22:BGK22"/>
    <mergeCell ref="BGL22:BGP22"/>
    <mergeCell ref="BGQ22:BGU22"/>
    <mergeCell ref="BGV22:BGZ22"/>
    <mergeCell ref="BHA22:BHE22"/>
    <mergeCell ref="BHF22:BHJ22"/>
    <mergeCell ref="BHK22:BHO22"/>
    <mergeCell ref="BHP22:BHT22"/>
    <mergeCell ref="BHU22:BHY22"/>
    <mergeCell ref="BHZ22:BID22"/>
    <mergeCell ref="BIE22:BII22"/>
    <mergeCell ref="BIJ22:BIN22"/>
    <mergeCell ref="BIO22:BIS22"/>
    <mergeCell ref="BIT22:BIX22"/>
    <mergeCell ref="BIY22:BJC22"/>
    <mergeCell ref="BJD22:BJH22"/>
    <mergeCell ref="BJI22:BJM22"/>
    <mergeCell ref="BJN22:BJR22"/>
    <mergeCell ref="BJS22:BJW22"/>
    <mergeCell ref="BJX22:BKB22"/>
    <mergeCell ref="BKC22:BKG22"/>
    <mergeCell ref="BKH22:BKL22"/>
    <mergeCell ref="BKM22:BKQ22"/>
    <mergeCell ref="BKR22:BKV22"/>
    <mergeCell ref="BKW22:BLA22"/>
    <mergeCell ref="BLB22:BLF22"/>
    <mergeCell ref="BLG22:BLK22"/>
    <mergeCell ref="BLL22:BLP22"/>
    <mergeCell ref="BLQ22:BLU22"/>
    <mergeCell ref="BLV22:BLZ22"/>
    <mergeCell ref="BMA22:BME22"/>
    <mergeCell ref="BMF22:BMJ22"/>
    <mergeCell ref="BMK22:BMO22"/>
    <mergeCell ref="BMP22:BMT22"/>
    <mergeCell ref="BMU22:BMY22"/>
    <mergeCell ref="BMZ22:BND22"/>
    <mergeCell ref="BNE22:BNI22"/>
    <mergeCell ref="BNJ22:BNN22"/>
    <mergeCell ref="BNO22:BNS22"/>
    <mergeCell ref="BNT22:BNX22"/>
    <mergeCell ref="BNY22:BOC22"/>
    <mergeCell ref="BOD22:BOH22"/>
    <mergeCell ref="BOI22:BOM22"/>
    <mergeCell ref="BON22:BOR22"/>
    <mergeCell ref="BOS22:BOW22"/>
    <mergeCell ref="BOX22:BPB22"/>
    <mergeCell ref="BPC22:BPG22"/>
    <mergeCell ref="BPH22:BPL22"/>
    <mergeCell ref="BPM22:BPQ22"/>
    <mergeCell ref="BPR22:BPV22"/>
    <mergeCell ref="BPW22:BQA22"/>
    <mergeCell ref="BQB22:BQF22"/>
    <mergeCell ref="BQG22:BQK22"/>
    <mergeCell ref="BQL22:BQP22"/>
    <mergeCell ref="BQQ22:BQU22"/>
    <mergeCell ref="BQV22:BQZ22"/>
    <mergeCell ref="BRA22:BRE22"/>
    <mergeCell ref="BRF22:BRJ22"/>
    <mergeCell ref="BRK22:BRO22"/>
    <mergeCell ref="BRP22:BRT22"/>
    <mergeCell ref="BRU22:BRY22"/>
    <mergeCell ref="BRZ22:BSD22"/>
    <mergeCell ref="BSE22:BSI22"/>
    <mergeCell ref="BSJ22:BSN22"/>
    <mergeCell ref="BSO22:BSS22"/>
    <mergeCell ref="BST22:BSX22"/>
    <mergeCell ref="BSY22:BTC22"/>
    <mergeCell ref="BTD22:BTH22"/>
    <mergeCell ref="BTI22:BTM22"/>
    <mergeCell ref="BTN22:BTR22"/>
    <mergeCell ref="BTS22:BTW22"/>
    <mergeCell ref="BTX22:BUB22"/>
    <mergeCell ref="BUC22:BUG22"/>
    <mergeCell ref="BUH22:BUL22"/>
    <mergeCell ref="BUM22:BUQ22"/>
    <mergeCell ref="BUR22:BUV22"/>
    <mergeCell ref="BUW22:BVA22"/>
    <mergeCell ref="BVB22:BVF22"/>
    <mergeCell ref="BVG22:BVK22"/>
    <mergeCell ref="BVL22:BVP22"/>
    <mergeCell ref="BVQ22:BVU22"/>
    <mergeCell ref="BVV22:BVZ22"/>
    <mergeCell ref="BWA22:BWE22"/>
    <mergeCell ref="BWF22:BWJ22"/>
    <mergeCell ref="BWK22:BWO22"/>
    <mergeCell ref="BWP22:BWT22"/>
    <mergeCell ref="BWU22:BWY22"/>
    <mergeCell ref="BWZ22:BXD22"/>
    <mergeCell ref="BXE22:BXI22"/>
    <mergeCell ref="BXJ22:BXN22"/>
    <mergeCell ref="BXO22:BXS22"/>
    <mergeCell ref="BXT22:BXX22"/>
    <mergeCell ref="BXY22:BYC22"/>
    <mergeCell ref="BYD22:BYH22"/>
    <mergeCell ref="BYI22:BYM22"/>
    <mergeCell ref="BYN22:BYR22"/>
    <mergeCell ref="BYS22:BYW22"/>
    <mergeCell ref="BYX22:BZB22"/>
    <mergeCell ref="BZC22:BZG22"/>
    <mergeCell ref="BZH22:BZL22"/>
    <mergeCell ref="BZM22:BZQ22"/>
    <mergeCell ref="BZR22:BZV22"/>
    <mergeCell ref="BZW22:CAA22"/>
    <mergeCell ref="CAB22:CAF22"/>
    <mergeCell ref="CAG22:CAK22"/>
    <mergeCell ref="CAL22:CAP22"/>
    <mergeCell ref="CAQ22:CAU22"/>
    <mergeCell ref="CAV22:CAZ22"/>
    <mergeCell ref="CBA22:CBE22"/>
    <mergeCell ref="CBF22:CBJ22"/>
    <mergeCell ref="CBK22:CBO22"/>
    <mergeCell ref="CBP22:CBT22"/>
    <mergeCell ref="CBU22:CBY22"/>
    <mergeCell ref="CBZ22:CCD22"/>
    <mergeCell ref="CCE22:CCI22"/>
    <mergeCell ref="CCJ22:CCN22"/>
    <mergeCell ref="CCO22:CCS22"/>
    <mergeCell ref="CCT22:CCX22"/>
    <mergeCell ref="CCY22:CDC22"/>
    <mergeCell ref="CDD22:CDH22"/>
    <mergeCell ref="CDI22:CDM22"/>
    <mergeCell ref="CDN22:CDR22"/>
    <mergeCell ref="CDS22:CDW22"/>
    <mergeCell ref="CDX22:CEB22"/>
    <mergeCell ref="CEC22:CEG22"/>
    <mergeCell ref="CEH22:CEL22"/>
    <mergeCell ref="CEM22:CEQ22"/>
    <mergeCell ref="CER22:CEV22"/>
    <mergeCell ref="CEW22:CFA22"/>
    <mergeCell ref="CFB22:CFF22"/>
    <mergeCell ref="CFG22:CFK22"/>
    <mergeCell ref="CFL22:CFP22"/>
    <mergeCell ref="CFQ22:CFU22"/>
    <mergeCell ref="CFV22:CFZ22"/>
    <mergeCell ref="CGA22:CGE22"/>
    <mergeCell ref="CGF22:CGJ22"/>
    <mergeCell ref="CGK22:CGO22"/>
    <mergeCell ref="CGP22:CGT22"/>
    <mergeCell ref="CGU22:CGY22"/>
    <mergeCell ref="CGZ22:CHD22"/>
    <mergeCell ref="CHE22:CHI22"/>
    <mergeCell ref="CHJ22:CHN22"/>
    <mergeCell ref="CHO22:CHS22"/>
    <mergeCell ref="CHT22:CHX22"/>
    <mergeCell ref="CHY22:CIC22"/>
    <mergeCell ref="CID22:CIH22"/>
    <mergeCell ref="CII22:CIM22"/>
    <mergeCell ref="CIN22:CIR22"/>
    <mergeCell ref="CIS22:CIW22"/>
    <mergeCell ref="CIX22:CJB22"/>
    <mergeCell ref="CJC22:CJG22"/>
    <mergeCell ref="CJH22:CJL22"/>
    <mergeCell ref="CJM22:CJQ22"/>
    <mergeCell ref="CJR22:CJV22"/>
    <mergeCell ref="CJW22:CKA22"/>
    <mergeCell ref="CKB22:CKF22"/>
    <mergeCell ref="CKG22:CKK22"/>
    <mergeCell ref="CKL22:CKP22"/>
    <mergeCell ref="CKQ22:CKU22"/>
    <mergeCell ref="CKV22:CKZ22"/>
    <mergeCell ref="CLA22:CLE22"/>
    <mergeCell ref="CLF22:CLJ22"/>
    <mergeCell ref="CLK22:CLO22"/>
    <mergeCell ref="CLP22:CLT22"/>
    <mergeCell ref="CLU22:CLY22"/>
    <mergeCell ref="CLZ22:CMD22"/>
    <mergeCell ref="CME22:CMI22"/>
    <mergeCell ref="CMJ22:CMN22"/>
    <mergeCell ref="CMO22:CMS22"/>
    <mergeCell ref="CMT22:CMX22"/>
    <mergeCell ref="CMY22:CNC22"/>
    <mergeCell ref="CND22:CNH22"/>
    <mergeCell ref="CNI22:CNM22"/>
    <mergeCell ref="CNN22:CNR22"/>
    <mergeCell ref="CNS22:CNW22"/>
    <mergeCell ref="CNX22:COB22"/>
    <mergeCell ref="COC22:COG22"/>
    <mergeCell ref="COH22:COL22"/>
    <mergeCell ref="COM22:COQ22"/>
    <mergeCell ref="COR22:COV22"/>
    <mergeCell ref="COW22:CPA22"/>
    <mergeCell ref="CPB22:CPF22"/>
    <mergeCell ref="CPG22:CPK22"/>
    <mergeCell ref="CPL22:CPP22"/>
    <mergeCell ref="CPQ22:CPU22"/>
    <mergeCell ref="CPV22:CPZ22"/>
    <mergeCell ref="CQA22:CQE22"/>
    <mergeCell ref="CQF22:CQJ22"/>
    <mergeCell ref="CQK22:CQO22"/>
    <mergeCell ref="CQP22:CQT22"/>
    <mergeCell ref="CQU22:CQY22"/>
    <mergeCell ref="CQZ22:CRD22"/>
    <mergeCell ref="CRE22:CRI22"/>
    <mergeCell ref="CRJ22:CRN22"/>
    <mergeCell ref="CRO22:CRS22"/>
    <mergeCell ref="CRT22:CRX22"/>
    <mergeCell ref="CRY22:CSC22"/>
    <mergeCell ref="CSD22:CSH22"/>
    <mergeCell ref="CSI22:CSM22"/>
    <mergeCell ref="CSN22:CSR22"/>
    <mergeCell ref="CSS22:CSW22"/>
    <mergeCell ref="CSX22:CTB22"/>
    <mergeCell ref="CTC22:CTG22"/>
    <mergeCell ref="CTH22:CTL22"/>
    <mergeCell ref="CTM22:CTQ22"/>
    <mergeCell ref="CTR22:CTV22"/>
    <mergeCell ref="CTW22:CUA22"/>
    <mergeCell ref="CUB22:CUF22"/>
    <mergeCell ref="CUG22:CUK22"/>
    <mergeCell ref="CUL22:CUP22"/>
    <mergeCell ref="CUQ22:CUU22"/>
    <mergeCell ref="CUV22:CUZ22"/>
    <mergeCell ref="CVA22:CVE22"/>
    <mergeCell ref="CVF22:CVJ22"/>
    <mergeCell ref="CVK22:CVO22"/>
    <mergeCell ref="CVP22:CVT22"/>
    <mergeCell ref="CVU22:CVY22"/>
    <mergeCell ref="CVZ22:CWD22"/>
    <mergeCell ref="CWE22:CWI22"/>
    <mergeCell ref="CWJ22:CWN22"/>
    <mergeCell ref="CWO22:CWS22"/>
    <mergeCell ref="CWT22:CWX22"/>
    <mergeCell ref="CWY22:CXC22"/>
    <mergeCell ref="CXD22:CXH22"/>
    <mergeCell ref="CXI22:CXM22"/>
    <mergeCell ref="CXN22:CXR22"/>
    <mergeCell ref="CXS22:CXW22"/>
    <mergeCell ref="CXX22:CYB22"/>
    <mergeCell ref="CYC22:CYG22"/>
    <mergeCell ref="CYH22:CYL22"/>
    <mergeCell ref="CYM22:CYQ22"/>
    <mergeCell ref="CYR22:CYV22"/>
    <mergeCell ref="CYW22:CZA22"/>
    <mergeCell ref="CZB22:CZF22"/>
    <mergeCell ref="CZG22:CZK22"/>
    <mergeCell ref="CZL22:CZP22"/>
    <mergeCell ref="CZQ22:CZU22"/>
    <mergeCell ref="CZV22:CZZ22"/>
    <mergeCell ref="DAA22:DAE22"/>
    <mergeCell ref="DAF22:DAJ22"/>
    <mergeCell ref="DAK22:DAO22"/>
    <mergeCell ref="DAP22:DAT22"/>
    <mergeCell ref="DAU22:DAY22"/>
    <mergeCell ref="DAZ22:DBD22"/>
    <mergeCell ref="DBE22:DBI22"/>
    <mergeCell ref="DBJ22:DBN22"/>
    <mergeCell ref="DBO22:DBS22"/>
    <mergeCell ref="DBT22:DBX22"/>
    <mergeCell ref="DBY22:DCC22"/>
    <mergeCell ref="DCD22:DCH22"/>
    <mergeCell ref="DCI22:DCM22"/>
    <mergeCell ref="DCN22:DCR22"/>
    <mergeCell ref="DCS22:DCW22"/>
    <mergeCell ref="DCX22:DDB22"/>
    <mergeCell ref="DDC22:DDG22"/>
    <mergeCell ref="DDH22:DDL22"/>
    <mergeCell ref="DDM22:DDQ22"/>
    <mergeCell ref="DDR22:DDV22"/>
    <mergeCell ref="DDW22:DEA22"/>
    <mergeCell ref="DEB22:DEF22"/>
    <mergeCell ref="DEG22:DEK22"/>
    <mergeCell ref="DEL22:DEP22"/>
    <mergeCell ref="DEQ22:DEU22"/>
    <mergeCell ref="DEV22:DEZ22"/>
    <mergeCell ref="DFA22:DFE22"/>
    <mergeCell ref="DFF22:DFJ22"/>
    <mergeCell ref="DFK22:DFO22"/>
    <mergeCell ref="DFP22:DFT22"/>
    <mergeCell ref="DFU22:DFY22"/>
    <mergeCell ref="DFZ22:DGD22"/>
    <mergeCell ref="DGE22:DGI22"/>
    <mergeCell ref="DGJ22:DGN22"/>
    <mergeCell ref="DGO22:DGS22"/>
    <mergeCell ref="DGT22:DGX22"/>
    <mergeCell ref="DGY22:DHC22"/>
    <mergeCell ref="DHD22:DHH22"/>
    <mergeCell ref="DHI22:DHM22"/>
    <mergeCell ref="DHN22:DHR22"/>
    <mergeCell ref="DHS22:DHW22"/>
    <mergeCell ref="DHX22:DIB22"/>
    <mergeCell ref="DIC22:DIG22"/>
    <mergeCell ref="DIH22:DIL22"/>
    <mergeCell ref="DIM22:DIQ22"/>
    <mergeCell ref="DIR22:DIV22"/>
    <mergeCell ref="DIW22:DJA22"/>
    <mergeCell ref="DJB22:DJF22"/>
    <mergeCell ref="DJG22:DJK22"/>
    <mergeCell ref="DJL22:DJP22"/>
    <mergeCell ref="DJQ22:DJU22"/>
    <mergeCell ref="DJV22:DJZ22"/>
    <mergeCell ref="DKA22:DKE22"/>
    <mergeCell ref="DKF22:DKJ22"/>
    <mergeCell ref="DKK22:DKO22"/>
    <mergeCell ref="DKP22:DKT22"/>
    <mergeCell ref="DKU22:DKY22"/>
    <mergeCell ref="DKZ22:DLD22"/>
    <mergeCell ref="DLE22:DLI22"/>
    <mergeCell ref="DLJ22:DLN22"/>
    <mergeCell ref="DLO22:DLS22"/>
    <mergeCell ref="DLT22:DLX22"/>
    <mergeCell ref="DLY22:DMC22"/>
    <mergeCell ref="DMD22:DMH22"/>
    <mergeCell ref="DMI22:DMM22"/>
    <mergeCell ref="DMN22:DMR22"/>
    <mergeCell ref="DMS22:DMW22"/>
    <mergeCell ref="DMX22:DNB22"/>
    <mergeCell ref="DNC22:DNG22"/>
    <mergeCell ref="DNH22:DNL22"/>
    <mergeCell ref="DNM22:DNQ22"/>
    <mergeCell ref="DNR22:DNV22"/>
    <mergeCell ref="DNW22:DOA22"/>
    <mergeCell ref="DOB22:DOF22"/>
    <mergeCell ref="DOG22:DOK22"/>
    <mergeCell ref="DOL22:DOP22"/>
    <mergeCell ref="DOQ22:DOU22"/>
    <mergeCell ref="DOV22:DOZ22"/>
    <mergeCell ref="DPA22:DPE22"/>
    <mergeCell ref="DPF22:DPJ22"/>
    <mergeCell ref="DPK22:DPO22"/>
    <mergeCell ref="DPP22:DPT22"/>
    <mergeCell ref="DPU22:DPY22"/>
    <mergeCell ref="DPZ22:DQD22"/>
    <mergeCell ref="DQE22:DQI22"/>
    <mergeCell ref="DQJ22:DQN22"/>
    <mergeCell ref="DQO22:DQS22"/>
    <mergeCell ref="DQT22:DQX22"/>
    <mergeCell ref="DQY22:DRC22"/>
    <mergeCell ref="DRD22:DRH22"/>
    <mergeCell ref="DRI22:DRM22"/>
    <mergeCell ref="DRN22:DRR22"/>
    <mergeCell ref="DRS22:DRW22"/>
    <mergeCell ref="DRX22:DSB22"/>
    <mergeCell ref="DSC22:DSG22"/>
    <mergeCell ref="DSH22:DSL22"/>
    <mergeCell ref="DSM22:DSQ22"/>
    <mergeCell ref="DSR22:DSV22"/>
    <mergeCell ref="DSW22:DTA22"/>
    <mergeCell ref="DTB22:DTF22"/>
    <mergeCell ref="DTG22:DTK22"/>
    <mergeCell ref="DTL22:DTP22"/>
    <mergeCell ref="DTQ22:DTU22"/>
    <mergeCell ref="DTV22:DTZ22"/>
    <mergeCell ref="DUA22:DUE22"/>
    <mergeCell ref="DUF22:DUJ22"/>
    <mergeCell ref="DUK22:DUO22"/>
    <mergeCell ref="DUP22:DUT22"/>
    <mergeCell ref="DUU22:DUY22"/>
    <mergeCell ref="DUZ22:DVD22"/>
    <mergeCell ref="DVE22:DVI22"/>
    <mergeCell ref="DVJ22:DVN22"/>
    <mergeCell ref="DVO22:DVS22"/>
    <mergeCell ref="DVT22:DVX22"/>
    <mergeCell ref="DVY22:DWC22"/>
    <mergeCell ref="DWD22:DWH22"/>
    <mergeCell ref="DWI22:DWM22"/>
    <mergeCell ref="DWN22:DWR22"/>
    <mergeCell ref="DWS22:DWW22"/>
    <mergeCell ref="DWX22:DXB22"/>
    <mergeCell ref="DXC22:DXG22"/>
    <mergeCell ref="DXH22:DXL22"/>
    <mergeCell ref="DXM22:DXQ22"/>
    <mergeCell ref="DXR22:DXV22"/>
    <mergeCell ref="DXW22:DYA22"/>
    <mergeCell ref="DYB22:DYF22"/>
    <mergeCell ref="DYG22:DYK22"/>
    <mergeCell ref="DYL22:DYP22"/>
    <mergeCell ref="DYQ22:DYU22"/>
    <mergeCell ref="DYV22:DYZ22"/>
    <mergeCell ref="DZA22:DZE22"/>
    <mergeCell ref="DZF22:DZJ22"/>
    <mergeCell ref="DZK22:DZO22"/>
    <mergeCell ref="DZP22:DZT22"/>
    <mergeCell ref="DZU22:DZY22"/>
    <mergeCell ref="DZZ22:EAD22"/>
    <mergeCell ref="EAE22:EAI22"/>
    <mergeCell ref="EAJ22:EAN22"/>
    <mergeCell ref="EAO22:EAS22"/>
    <mergeCell ref="EAT22:EAX22"/>
    <mergeCell ref="EAY22:EBC22"/>
    <mergeCell ref="EBD22:EBH22"/>
    <mergeCell ref="EBI22:EBM22"/>
    <mergeCell ref="EBN22:EBR22"/>
    <mergeCell ref="EBS22:EBW22"/>
    <mergeCell ref="EBX22:ECB22"/>
    <mergeCell ref="ECC22:ECG22"/>
    <mergeCell ref="ECH22:ECL22"/>
    <mergeCell ref="ECM22:ECQ22"/>
    <mergeCell ref="ECR22:ECV22"/>
    <mergeCell ref="ECW22:EDA22"/>
    <mergeCell ref="EDB22:EDF22"/>
    <mergeCell ref="EDG22:EDK22"/>
    <mergeCell ref="EDL22:EDP22"/>
    <mergeCell ref="EDQ22:EDU22"/>
    <mergeCell ref="EDV22:EDZ22"/>
    <mergeCell ref="EEA22:EEE22"/>
    <mergeCell ref="EEF22:EEJ22"/>
    <mergeCell ref="EEK22:EEO22"/>
    <mergeCell ref="EEP22:EET22"/>
    <mergeCell ref="EEU22:EEY22"/>
    <mergeCell ref="EEZ22:EFD22"/>
    <mergeCell ref="EFE22:EFI22"/>
    <mergeCell ref="EFJ22:EFN22"/>
    <mergeCell ref="EFO22:EFS22"/>
    <mergeCell ref="EFT22:EFX22"/>
    <mergeCell ref="EFY22:EGC22"/>
    <mergeCell ref="EGD22:EGH22"/>
    <mergeCell ref="EGI22:EGM22"/>
    <mergeCell ref="EGN22:EGR22"/>
    <mergeCell ref="EGS22:EGW22"/>
    <mergeCell ref="EGX22:EHB22"/>
    <mergeCell ref="EHC22:EHG22"/>
    <mergeCell ref="EHH22:EHL22"/>
    <mergeCell ref="EHM22:EHQ22"/>
    <mergeCell ref="EHR22:EHV22"/>
    <mergeCell ref="EHW22:EIA22"/>
    <mergeCell ref="EIB22:EIF22"/>
    <mergeCell ref="EIG22:EIK22"/>
    <mergeCell ref="EIL22:EIP22"/>
    <mergeCell ref="EIQ22:EIU22"/>
    <mergeCell ref="EIV22:EIZ22"/>
    <mergeCell ref="EJA22:EJE22"/>
    <mergeCell ref="EJF22:EJJ22"/>
    <mergeCell ref="EJK22:EJO22"/>
    <mergeCell ref="EJP22:EJT22"/>
    <mergeCell ref="EJU22:EJY22"/>
    <mergeCell ref="EJZ22:EKD22"/>
    <mergeCell ref="EKE22:EKI22"/>
    <mergeCell ref="EKJ22:EKN22"/>
    <mergeCell ref="EKO22:EKS22"/>
    <mergeCell ref="EKT22:EKX22"/>
    <mergeCell ref="EKY22:ELC22"/>
    <mergeCell ref="ELD22:ELH22"/>
    <mergeCell ref="ELI22:ELM22"/>
    <mergeCell ref="ELN22:ELR22"/>
    <mergeCell ref="ELS22:ELW22"/>
    <mergeCell ref="ELX22:EMB22"/>
    <mergeCell ref="EMC22:EMG22"/>
    <mergeCell ref="EMH22:EML22"/>
    <mergeCell ref="EMM22:EMQ22"/>
    <mergeCell ref="EMR22:EMV22"/>
    <mergeCell ref="EMW22:ENA22"/>
    <mergeCell ref="ENB22:ENF22"/>
    <mergeCell ref="ENG22:ENK22"/>
    <mergeCell ref="ENL22:ENP22"/>
    <mergeCell ref="ENQ22:ENU22"/>
    <mergeCell ref="ENV22:ENZ22"/>
    <mergeCell ref="EOA22:EOE22"/>
    <mergeCell ref="EOF22:EOJ22"/>
    <mergeCell ref="EOK22:EOO22"/>
    <mergeCell ref="EOP22:EOT22"/>
    <mergeCell ref="EOU22:EOY22"/>
    <mergeCell ref="EOZ22:EPD22"/>
    <mergeCell ref="EPE22:EPI22"/>
    <mergeCell ref="EPJ22:EPN22"/>
    <mergeCell ref="EPO22:EPS22"/>
    <mergeCell ref="EPT22:EPX22"/>
    <mergeCell ref="EPY22:EQC22"/>
    <mergeCell ref="EQD22:EQH22"/>
    <mergeCell ref="EQI22:EQM22"/>
    <mergeCell ref="EQN22:EQR22"/>
    <mergeCell ref="EQS22:EQW22"/>
    <mergeCell ref="EQX22:ERB22"/>
    <mergeCell ref="ERC22:ERG22"/>
    <mergeCell ref="ERH22:ERL22"/>
    <mergeCell ref="ERM22:ERQ22"/>
    <mergeCell ref="ERR22:ERV22"/>
    <mergeCell ref="ERW22:ESA22"/>
    <mergeCell ref="ESB22:ESF22"/>
    <mergeCell ref="ESG22:ESK22"/>
    <mergeCell ref="ESL22:ESP22"/>
    <mergeCell ref="ESQ22:ESU22"/>
    <mergeCell ref="ESV22:ESZ22"/>
    <mergeCell ref="ETA22:ETE22"/>
    <mergeCell ref="ETF22:ETJ22"/>
    <mergeCell ref="ETK22:ETO22"/>
    <mergeCell ref="ETP22:ETT22"/>
    <mergeCell ref="ETU22:ETY22"/>
    <mergeCell ref="ETZ22:EUD22"/>
    <mergeCell ref="EUE22:EUI22"/>
    <mergeCell ref="EUJ22:EUN22"/>
    <mergeCell ref="EUO22:EUS22"/>
    <mergeCell ref="EUT22:EUX22"/>
    <mergeCell ref="EUY22:EVC22"/>
    <mergeCell ref="EVD22:EVH22"/>
    <mergeCell ref="EVI22:EVM22"/>
    <mergeCell ref="EVN22:EVR22"/>
    <mergeCell ref="EVS22:EVW22"/>
    <mergeCell ref="EVX22:EWB22"/>
    <mergeCell ref="EWC22:EWG22"/>
    <mergeCell ref="EWH22:EWL22"/>
    <mergeCell ref="EWM22:EWQ22"/>
    <mergeCell ref="EWR22:EWV22"/>
    <mergeCell ref="EWW22:EXA22"/>
    <mergeCell ref="EXB22:EXF22"/>
    <mergeCell ref="EXG22:EXK22"/>
    <mergeCell ref="EXL22:EXP22"/>
    <mergeCell ref="EXQ22:EXU22"/>
    <mergeCell ref="EXV22:EXZ22"/>
    <mergeCell ref="EYA22:EYE22"/>
    <mergeCell ref="EYF22:EYJ22"/>
    <mergeCell ref="EYK22:EYO22"/>
    <mergeCell ref="EYP22:EYT22"/>
    <mergeCell ref="EYU22:EYY22"/>
    <mergeCell ref="EYZ22:EZD22"/>
    <mergeCell ref="EZE22:EZI22"/>
    <mergeCell ref="EZJ22:EZN22"/>
    <mergeCell ref="EZO22:EZS22"/>
    <mergeCell ref="EZT22:EZX22"/>
    <mergeCell ref="EZY22:FAC22"/>
    <mergeCell ref="FAD22:FAH22"/>
    <mergeCell ref="FAI22:FAM22"/>
    <mergeCell ref="FAN22:FAR22"/>
    <mergeCell ref="FAS22:FAW22"/>
    <mergeCell ref="FAX22:FBB22"/>
    <mergeCell ref="FBC22:FBG22"/>
    <mergeCell ref="FBH22:FBL22"/>
    <mergeCell ref="FBM22:FBQ22"/>
    <mergeCell ref="FBR22:FBV22"/>
    <mergeCell ref="FBW22:FCA22"/>
    <mergeCell ref="FCB22:FCF22"/>
    <mergeCell ref="FCG22:FCK22"/>
    <mergeCell ref="FCL22:FCP22"/>
    <mergeCell ref="FCQ22:FCU22"/>
    <mergeCell ref="FCV22:FCZ22"/>
    <mergeCell ref="FDA22:FDE22"/>
    <mergeCell ref="FDF22:FDJ22"/>
    <mergeCell ref="FDK22:FDO22"/>
    <mergeCell ref="FDP22:FDT22"/>
    <mergeCell ref="FDU22:FDY22"/>
    <mergeCell ref="FDZ22:FED22"/>
    <mergeCell ref="FEE22:FEI22"/>
    <mergeCell ref="FEJ22:FEN22"/>
    <mergeCell ref="FEO22:FES22"/>
    <mergeCell ref="FET22:FEX22"/>
    <mergeCell ref="FEY22:FFC22"/>
    <mergeCell ref="FFD22:FFH22"/>
    <mergeCell ref="FFI22:FFM22"/>
    <mergeCell ref="FFN22:FFR22"/>
    <mergeCell ref="FFS22:FFW22"/>
    <mergeCell ref="FFX22:FGB22"/>
    <mergeCell ref="FGC22:FGG22"/>
    <mergeCell ref="FGH22:FGL22"/>
    <mergeCell ref="FGM22:FGQ22"/>
    <mergeCell ref="FGR22:FGV22"/>
    <mergeCell ref="FGW22:FHA22"/>
    <mergeCell ref="FHB22:FHF22"/>
    <mergeCell ref="FHG22:FHK22"/>
    <mergeCell ref="FHL22:FHP22"/>
    <mergeCell ref="FHQ22:FHU22"/>
    <mergeCell ref="FHV22:FHZ22"/>
    <mergeCell ref="FIA22:FIE22"/>
    <mergeCell ref="FIF22:FIJ22"/>
    <mergeCell ref="FIK22:FIO22"/>
    <mergeCell ref="FIP22:FIT22"/>
    <mergeCell ref="FIU22:FIY22"/>
    <mergeCell ref="FIZ22:FJD22"/>
    <mergeCell ref="FJE22:FJI22"/>
    <mergeCell ref="FJJ22:FJN22"/>
    <mergeCell ref="FJO22:FJS22"/>
    <mergeCell ref="FJT22:FJX22"/>
    <mergeCell ref="FJY22:FKC22"/>
    <mergeCell ref="FKD22:FKH22"/>
    <mergeCell ref="FKI22:FKM22"/>
    <mergeCell ref="FKN22:FKR22"/>
    <mergeCell ref="FKS22:FKW22"/>
    <mergeCell ref="FKX22:FLB22"/>
    <mergeCell ref="FLC22:FLG22"/>
    <mergeCell ref="FLH22:FLL22"/>
    <mergeCell ref="FLM22:FLQ22"/>
    <mergeCell ref="FLR22:FLV22"/>
    <mergeCell ref="FLW22:FMA22"/>
    <mergeCell ref="FMB22:FMF22"/>
    <mergeCell ref="FMG22:FMK22"/>
    <mergeCell ref="FML22:FMP22"/>
    <mergeCell ref="FMQ22:FMU22"/>
    <mergeCell ref="FMV22:FMZ22"/>
    <mergeCell ref="FNA22:FNE22"/>
    <mergeCell ref="FNF22:FNJ22"/>
    <mergeCell ref="FNK22:FNO22"/>
    <mergeCell ref="FNP22:FNT22"/>
    <mergeCell ref="FNU22:FNY22"/>
    <mergeCell ref="FNZ22:FOD22"/>
    <mergeCell ref="FOE22:FOI22"/>
    <mergeCell ref="FOJ22:FON22"/>
    <mergeCell ref="FOO22:FOS22"/>
    <mergeCell ref="FOT22:FOX22"/>
    <mergeCell ref="FOY22:FPC22"/>
    <mergeCell ref="FPD22:FPH22"/>
    <mergeCell ref="FPI22:FPM22"/>
    <mergeCell ref="FPN22:FPR22"/>
    <mergeCell ref="FPS22:FPW22"/>
    <mergeCell ref="FPX22:FQB22"/>
    <mergeCell ref="FQC22:FQG22"/>
    <mergeCell ref="FQH22:FQL22"/>
    <mergeCell ref="FQM22:FQQ22"/>
    <mergeCell ref="FQR22:FQV22"/>
    <mergeCell ref="FQW22:FRA22"/>
    <mergeCell ref="FRB22:FRF22"/>
    <mergeCell ref="FRG22:FRK22"/>
    <mergeCell ref="FRL22:FRP22"/>
    <mergeCell ref="FRQ22:FRU22"/>
    <mergeCell ref="FRV22:FRZ22"/>
    <mergeCell ref="FSA22:FSE22"/>
    <mergeCell ref="FSF22:FSJ22"/>
    <mergeCell ref="FSK22:FSO22"/>
    <mergeCell ref="FSP22:FST22"/>
    <mergeCell ref="FSU22:FSY22"/>
    <mergeCell ref="FSZ22:FTD22"/>
    <mergeCell ref="FTE22:FTI22"/>
    <mergeCell ref="FTJ22:FTN22"/>
    <mergeCell ref="FTO22:FTS22"/>
    <mergeCell ref="FTT22:FTX22"/>
    <mergeCell ref="FTY22:FUC22"/>
    <mergeCell ref="FUD22:FUH22"/>
    <mergeCell ref="FUI22:FUM22"/>
    <mergeCell ref="FUN22:FUR22"/>
    <mergeCell ref="FUS22:FUW22"/>
    <mergeCell ref="FUX22:FVB22"/>
    <mergeCell ref="FVC22:FVG22"/>
    <mergeCell ref="FVH22:FVL22"/>
    <mergeCell ref="FVM22:FVQ22"/>
    <mergeCell ref="FVR22:FVV22"/>
    <mergeCell ref="FVW22:FWA22"/>
    <mergeCell ref="FWB22:FWF22"/>
    <mergeCell ref="FWG22:FWK22"/>
    <mergeCell ref="FWL22:FWP22"/>
    <mergeCell ref="FWQ22:FWU22"/>
    <mergeCell ref="FWV22:FWZ22"/>
    <mergeCell ref="FXA22:FXE22"/>
    <mergeCell ref="FXF22:FXJ22"/>
    <mergeCell ref="FXK22:FXO22"/>
    <mergeCell ref="FXP22:FXT22"/>
    <mergeCell ref="FXU22:FXY22"/>
    <mergeCell ref="FXZ22:FYD22"/>
    <mergeCell ref="FYE22:FYI22"/>
    <mergeCell ref="FYJ22:FYN22"/>
    <mergeCell ref="FYO22:FYS22"/>
    <mergeCell ref="FYT22:FYX22"/>
    <mergeCell ref="FYY22:FZC22"/>
    <mergeCell ref="FZD22:FZH22"/>
    <mergeCell ref="FZI22:FZM22"/>
    <mergeCell ref="FZN22:FZR22"/>
    <mergeCell ref="FZS22:FZW22"/>
    <mergeCell ref="FZX22:GAB22"/>
    <mergeCell ref="GAC22:GAG22"/>
    <mergeCell ref="GAH22:GAL22"/>
    <mergeCell ref="GAM22:GAQ22"/>
    <mergeCell ref="GAR22:GAV22"/>
    <mergeCell ref="GAW22:GBA22"/>
    <mergeCell ref="GBB22:GBF22"/>
    <mergeCell ref="GBG22:GBK22"/>
    <mergeCell ref="GBL22:GBP22"/>
    <mergeCell ref="GBQ22:GBU22"/>
    <mergeCell ref="GBV22:GBZ22"/>
    <mergeCell ref="GCA22:GCE22"/>
    <mergeCell ref="GCF22:GCJ22"/>
    <mergeCell ref="GCK22:GCO22"/>
    <mergeCell ref="GCP22:GCT22"/>
    <mergeCell ref="GCU22:GCY22"/>
    <mergeCell ref="GCZ22:GDD22"/>
    <mergeCell ref="GDE22:GDI22"/>
    <mergeCell ref="GDJ22:GDN22"/>
    <mergeCell ref="GDO22:GDS22"/>
    <mergeCell ref="GDT22:GDX22"/>
    <mergeCell ref="GDY22:GEC22"/>
    <mergeCell ref="GED22:GEH22"/>
    <mergeCell ref="GEI22:GEM22"/>
    <mergeCell ref="GEN22:GER22"/>
    <mergeCell ref="GES22:GEW22"/>
    <mergeCell ref="GEX22:GFB22"/>
    <mergeCell ref="GFC22:GFG22"/>
    <mergeCell ref="GFH22:GFL22"/>
    <mergeCell ref="GFM22:GFQ22"/>
    <mergeCell ref="GFR22:GFV22"/>
    <mergeCell ref="GFW22:GGA22"/>
    <mergeCell ref="GGB22:GGF22"/>
    <mergeCell ref="GGG22:GGK22"/>
    <mergeCell ref="GGL22:GGP22"/>
    <mergeCell ref="GGQ22:GGU22"/>
    <mergeCell ref="GGV22:GGZ22"/>
    <mergeCell ref="GHA22:GHE22"/>
    <mergeCell ref="GHF22:GHJ22"/>
    <mergeCell ref="GHK22:GHO22"/>
    <mergeCell ref="GHP22:GHT22"/>
    <mergeCell ref="GHU22:GHY22"/>
    <mergeCell ref="GHZ22:GID22"/>
    <mergeCell ref="GIE22:GII22"/>
    <mergeCell ref="GIJ22:GIN22"/>
    <mergeCell ref="GIO22:GIS22"/>
    <mergeCell ref="GIT22:GIX22"/>
    <mergeCell ref="GIY22:GJC22"/>
    <mergeCell ref="GJD22:GJH22"/>
    <mergeCell ref="GJI22:GJM22"/>
    <mergeCell ref="GJN22:GJR22"/>
    <mergeCell ref="GJS22:GJW22"/>
    <mergeCell ref="GJX22:GKB22"/>
    <mergeCell ref="GKC22:GKG22"/>
    <mergeCell ref="GKH22:GKL22"/>
    <mergeCell ref="GKM22:GKQ22"/>
    <mergeCell ref="GKR22:GKV22"/>
    <mergeCell ref="GKW22:GLA22"/>
    <mergeCell ref="GLB22:GLF22"/>
    <mergeCell ref="GLG22:GLK22"/>
    <mergeCell ref="GLL22:GLP22"/>
    <mergeCell ref="GLQ22:GLU22"/>
    <mergeCell ref="GLV22:GLZ22"/>
    <mergeCell ref="GMA22:GME22"/>
    <mergeCell ref="GMF22:GMJ22"/>
    <mergeCell ref="GMK22:GMO22"/>
    <mergeCell ref="GMP22:GMT22"/>
    <mergeCell ref="GMU22:GMY22"/>
    <mergeCell ref="GMZ22:GND22"/>
    <mergeCell ref="GNE22:GNI22"/>
    <mergeCell ref="GNJ22:GNN22"/>
    <mergeCell ref="GNO22:GNS22"/>
    <mergeCell ref="GNT22:GNX22"/>
    <mergeCell ref="GNY22:GOC22"/>
    <mergeCell ref="GOD22:GOH22"/>
    <mergeCell ref="GOI22:GOM22"/>
    <mergeCell ref="GON22:GOR22"/>
    <mergeCell ref="GOS22:GOW22"/>
    <mergeCell ref="GOX22:GPB22"/>
    <mergeCell ref="GPC22:GPG22"/>
    <mergeCell ref="GPH22:GPL22"/>
    <mergeCell ref="GPM22:GPQ22"/>
    <mergeCell ref="GPR22:GPV22"/>
    <mergeCell ref="GPW22:GQA22"/>
    <mergeCell ref="GQB22:GQF22"/>
    <mergeCell ref="GQG22:GQK22"/>
    <mergeCell ref="GQL22:GQP22"/>
    <mergeCell ref="GQQ22:GQU22"/>
    <mergeCell ref="GQV22:GQZ22"/>
    <mergeCell ref="GRA22:GRE22"/>
    <mergeCell ref="GRF22:GRJ22"/>
    <mergeCell ref="GRK22:GRO22"/>
    <mergeCell ref="GRP22:GRT22"/>
    <mergeCell ref="GRU22:GRY22"/>
    <mergeCell ref="GRZ22:GSD22"/>
    <mergeCell ref="GSE22:GSI22"/>
    <mergeCell ref="GSJ22:GSN22"/>
    <mergeCell ref="GSO22:GSS22"/>
    <mergeCell ref="GST22:GSX22"/>
    <mergeCell ref="GSY22:GTC22"/>
    <mergeCell ref="GTD22:GTH22"/>
    <mergeCell ref="GTI22:GTM22"/>
    <mergeCell ref="GTN22:GTR22"/>
    <mergeCell ref="GTS22:GTW22"/>
    <mergeCell ref="GTX22:GUB22"/>
    <mergeCell ref="GUC22:GUG22"/>
    <mergeCell ref="GUH22:GUL22"/>
    <mergeCell ref="GUM22:GUQ22"/>
    <mergeCell ref="GUR22:GUV22"/>
    <mergeCell ref="GUW22:GVA22"/>
    <mergeCell ref="GVB22:GVF22"/>
    <mergeCell ref="GVG22:GVK22"/>
    <mergeCell ref="GVL22:GVP22"/>
    <mergeCell ref="GVQ22:GVU22"/>
    <mergeCell ref="GVV22:GVZ22"/>
    <mergeCell ref="GWA22:GWE22"/>
    <mergeCell ref="GWF22:GWJ22"/>
    <mergeCell ref="GWK22:GWO22"/>
    <mergeCell ref="GWP22:GWT22"/>
    <mergeCell ref="GWU22:GWY22"/>
    <mergeCell ref="GWZ22:GXD22"/>
    <mergeCell ref="GXE22:GXI22"/>
    <mergeCell ref="GXJ22:GXN22"/>
    <mergeCell ref="GXO22:GXS22"/>
    <mergeCell ref="GXT22:GXX22"/>
    <mergeCell ref="GXY22:GYC22"/>
    <mergeCell ref="GYD22:GYH22"/>
    <mergeCell ref="GYI22:GYM22"/>
    <mergeCell ref="GYN22:GYR22"/>
    <mergeCell ref="GYS22:GYW22"/>
    <mergeCell ref="GYX22:GZB22"/>
    <mergeCell ref="GZC22:GZG22"/>
    <mergeCell ref="GZH22:GZL22"/>
    <mergeCell ref="GZM22:GZQ22"/>
    <mergeCell ref="GZR22:GZV22"/>
    <mergeCell ref="GZW22:HAA22"/>
    <mergeCell ref="HAB22:HAF22"/>
    <mergeCell ref="HAG22:HAK22"/>
    <mergeCell ref="HAL22:HAP22"/>
    <mergeCell ref="HAQ22:HAU22"/>
    <mergeCell ref="HAV22:HAZ22"/>
    <mergeCell ref="HBA22:HBE22"/>
    <mergeCell ref="HBF22:HBJ22"/>
    <mergeCell ref="HBK22:HBO22"/>
    <mergeCell ref="HBP22:HBT22"/>
    <mergeCell ref="HBU22:HBY22"/>
    <mergeCell ref="HBZ22:HCD22"/>
    <mergeCell ref="HCE22:HCI22"/>
    <mergeCell ref="HCJ22:HCN22"/>
    <mergeCell ref="HCO22:HCS22"/>
    <mergeCell ref="HCT22:HCX22"/>
    <mergeCell ref="HCY22:HDC22"/>
    <mergeCell ref="HDD22:HDH22"/>
    <mergeCell ref="HDI22:HDM22"/>
    <mergeCell ref="HDN22:HDR22"/>
    <mergeCell ref="HDS22:HDW22"/>
    <mergeCell ref="HDX22:HEB22"/>
    <mergeCell ref="HEC22:HEG22"/>
    <mergeCell ref="HEH22:HEL22"/>
    <mergeCell ref="HEM22:HEQ22"/>
    <mergeCell ref="HER22:HEV22"/>
    <mergeCell ref="HEW22:HFA22"/>
    <mergeCell ref="HFB22:HFF22"/>
    <mergeCell ref="HFG22:HFK22"/>
    <mergeCell ref="HFL22:HFP22"/>
    <mergeCell ref="HFQ22:HFU22"/>
    <mergeCell ref="HFV22:HFZ22"/>
    <mergeCell ref="HGA22:HGE22"/>
    <mergeCell ref="HGF22:HGJ22"/>
    <mergeCell ref="HGK22:HGO22"/>
    <mergeCell ref="HGP22:HGT22"/>
    <mergeCell ref="HGU22:HGY22"/>
    <mergeCell ref="HGZ22:HHD22"/>
    <mergeCell ref="HHE22:HHI22"/>
    <mergeCell ref="HHJ22:HHN22"/>
    <mergeCell ref="HHO22:HHS22"/>
    <mergeCell ref="HHT22:HHX22"/>
    <mergeCell ref="HHY22:HIC22"/>
    <mergeCell ref="HID22:HIH22"/>
    <mergeCell ref="HII22:HIM22"/>
    <mergeCell ref="HIN22:HIR22"/>
    <mergeCell ref="HIS22:HIW22"/>
    <mergeCell ref="HIX22:HJB22"/>
    <mergeCell ref="HJC22:HJG22"/>
    <mergeCell ref="HJH22:HJL22"/>
    <mergeCell ref="HJM22:HJQ22"/>
    <mergeCell ref="HJR22:HJV22"/>
    <mergeCell ref="HJW22:HKA22"/>
    <mergeCell ref="HKB22:HKF22"/>
    <mergeCell ref="HKG22:HKK22"/>
    <mergeCell ref="HKL22:HKP22"/>
    <mergeCell ref="HKQ22:HKU22"/>
    <mergeCell ref="HKV22:HKZ22"/>
    <mergeCell ref="HLA22:HLE22"/>
    <mergeCell ref="HLF22:HLJ22"/>
    <mergeCell ref="HLK22:HLO22"/>
    <mergeCell ref="HLP22:HLT22"/>
    <mergeCell ref="HLU22:HLY22"/>
    <mergeCell ref="HLZ22:HMD22"/>
    <mergeCell ref="HME22:HMI22"/>
    <mergeCell ref="HMJ22:HMN22"/>
    <mergeCell ref="HMO22:HMS22"/>
    <mergeCell ref="HMT22:HMX22"/>
    <mergeCell ref="HMY22:HNC22"/>
    <mergeCell ref="HND22:HNH22"/>
    <mergeCell ref="HNI22:HNM22"/>
    <mergeCell ref="HNN22:HNR22"/>
    <mergeCell ref="HNS22:HNW22"/>
    <mergeCell ref="HNX22:HOB22"/>
    <mergeCell ref="HOC22:HOG22"/>
    <mergeCell ref="HOH22:HOL22"/>
    <mergeCell ref="HOM22:HOQ22"/>
    <mergeCell ref="HOR22:HOV22"/>
    <mergeCell ref="HOW22:HPA22"/>
    <mergeCell ref="HPB22:HPF22"/>
    <mergeCell ref="HPG22:HPK22"/>
    <mergeCell ref="HPL22:HPP22"/>
    <mergeCell ref="HPQ22:HPU22"/>
    <mergeCell ref="HPV22:HPZ22"/>
    <mergeCell ref="HQA22:HQE22"/>
    <mergeCell ref="HQF22:HQJ22"/>
    <mergeCell ref="HQK22:HQO22"/>
    <mergeCell ref="HQP22:HQT22"/>
    <mergeCell ref="HQU22:HQY22"/>
    <mergeCell ref="HQZ22:HRD22"/>
    <mergeCell ref="HRE22:HRI22"/>
    <mergeCell ref="HRJ22:HRN22"/>
    <mergeCell ref="HRO22:HRS22"/>
    <mergeCell ref="HRT22:HRX22"/>
    <mergeCell ref="HRY22:HSC22"/>
    <mergeCell ref="HSD22:HSH22"/>
    <mergeCell ref="HSI22:HSM22"/>
    <mergeCell ref="HSN22:HSR22"/>
    <mergeCell ref="HSS22:HSW22"/>
    <mergeCell ref="HSX22:HTB22"/>
    <mergeCell ref="HTC22:HTG22"/>
    <mergeCell ref="HTH22:HTL22"/>
    <mergeCell ref="HTM22:HTQ22"/>
    <mergeCell ref="HTR22:HTV22"/>
    <mergeCell ref="HTW22:HUA22"/>
    <mergeCell ref="HUB22:HUF22"/>
    <mergeCell ref="HUG22:HUK22"/>
    <mergeCell ref="HUL22:HUP22"/>
    <mergeCell ref="HUQ22:HUU22"/>
    <mergeCell ref="HUV22:HUZ22"/>
    <mergeCell ref="HVA22:HVE22"/>
    <mergeCell ref="HVF22:HVJ22"/>
    <mergeCell ref="HVK22:HVO22"/>
    <mergeCell ref="HVP22:HVT22"/>
    <mergeCell ref="HVU22:HVY22"/>
    <mergeCell ref="HVZ22:HWD22"/>
    <mergeCell ref="HWE22:HWI22"/>
    <mergeCell ref="HWJ22:HWN22"/>
    <mergeCell ref="HWO22:HWS22"/>
    <mergeCell ref="HWT22:HWX22"/>
    <mergeCell ref="HWY22:HXC22"/>
    <mergeCell ref="HXD22:HXH22"/>
    <mergeCell ref="HXI22:HXM22"/>
    <mergeCell ref="HXN22:HXR22"/>
    <mergeCell ref="HXS22:HXW22"/>
    <mergeCell ref="HXX22:HYB22"/>
    <mergeCell ref="HYC22:HYG22"/>
    <mergeCell ref="HYH22:HYL22"/>
    <mergeCell ref="HYM22:HYQ22"/>
    <mergeCell ref="HYR22:HYV22"/>
    <mergeCell ref="HYW22:HZA22"/>
    <mergeCell ref="HZB22:HZF22"/>
    <mergeCell ref="HZG22:HZK22"/>
    <mergeCell ref="HZL22:HZP22"/>
    <mergeCell ref="HZQ22:HZU22"/>
    <mergeCell ref="HZV22:HZZ22"/>
    <mergeCell ref="IAA22:IAE22"/>
    <mergeCell ref="IAF22:IAJ22"/>
    <mergeCell ref="IAK22:IAO22"/>
    <mergeCell ref="IAP22:IAT22"/>
    <mergeCell ref="IAU22:IAY22"/>
    <mergeCell ref="IAZ22:IBD22"/>
    <mergeCell ref="IBE22:IBI22"/>
    <mergeCell ref="IBJ22:IBN22"/>
    <mergeCell ref="IBO22:IBS22"/>
    <mergeCell ref="IBT22:IBX22"/>
    <mergeCell ref="IBY22:ICC22"/>
    <mergeCell ref="ICD22:ICH22"/>
    <mergeCell ref="ICI22:ICM22"/>
    <mergeCell ref="ICN22:ICR22"/>
    <mergeCell ref="ICS22:ICW22"/>
    <mergeCell ref="ICX22:IDB22"/>
    <mergeCell ref="IDC22:IDG22"/>
    <mergeCell ref="IDH22:IDL22"/>
    <mergeCell ref="IDM22:IDQ22"/>
    <mergeCell ref="IDR22:IDV22"/>
    <mergeCell ref="IDW22:IEA22"/>
    <mergeCell ref="IEB22:IEF22"/>
    <mergeCell ref="IEG22:IEK22"/>
    <mergeCell ref="IEL22:IEP22"/>
    <mergeCell ref="IEQ22:IEU22"/>
    <mergeCell ref="IEV22:IEZ22"/>
    <mergeCell ref="IFA22:IFE22"/>
    <mergeCell ref="IFF22:IFJ22"/>
    <mergeCell ref="IFK22:IFO22"/>
    <mergeCell ref="IFP22:IFT22"/>
    <mergeCell ref="IFU22:IFY22"/>
    <mergeCell ref="IFZ22:IGD22"/>
    <mergeCell ref="IGE22:IGI22"/>
    <mergeCell ref="IGJ22:IGN22"/>
    <mergeCell ref="IGO22:IGS22"/>
    <mergeCell ref="IGT22:IGX22"/>
    <mergeCell ref="IGY22:IHC22"/>
    <mergeCell ref="IHD22:IHH22"/>
    <mergeCell ref="IHI22:IHM22"/>
    <mergeCell ref="IHN22:IHR22"/>
    <mergeCell ref="IHS22:IHW22"/>
    <mergeCell ref="IHX22:IIB22"/>
    <mergeCell ref="IIC22:IIG22"/>
    <mergeCell ref="IIH22:IIL22"/>
    <mergeCell ref="IIM22:IIQ22"/>
    <mergeCell ref="IIR22:IIV22"/>
    <mergeCell ref="IIW22:IJA22"/>
    <mergeCell ref="IJB22:IJF22"/>
    <mergeCell ref="IJG22:IJK22"/>
    <mergeCell ref="IJL22:IJP22"/>
    <mergeCell ref="IJQ22:IJU22"/>
    <mergeCell ref="IJV22:IJZ22"/>
    <mergeCell ref="IKA22:IKE22"/>
    <mergeCell ref="IKF22:IKJ22"/>
    <mergeCell ref="IKK22:IKO22"/>
    <mergeCell ref="IKP22:IKT22"/>
    <mergeCell ref="IKU22:IKY22"/>
    <mergeCell ref="IKZ22:ILD22"/>
    <mergeCell ref="ILE22:ILI22"/>
    <mergeCell ref="ILJ22:ILN22"/>
    <mergeCell ref="ILO22:ILS22"/>
    <mergeCell ref="ILT22:ILX22"/>
    <mergeCell ref="ILY22:IMC22"/>
    <mergeCell ref="IMD22:IMH22"/>
    <mergeCell ref="IMI22:IMM22"/>
    <mergeCell ref="IMN22:IMR22"/>
    <mergeCell ref="IMS22:IMW22"/>
    <mergeCell ref="IMX22:INB22"/>
    <mergeCell ref="INC22:ING22"/>
    <mergeCell ref="INH22:INL22"/>
    <mergeCell ref="INM22:INQ22"/>
    <mergeCell ref="INR22:INV22"/>
    <mergeCell ref="INW22:IOA22"/>
    <mergeCell ref="IOB22:IOF22"/>
    <mergeCell ref="IOG22:IOK22"/>
    <mergeCell ref="IOL22:IOP22"/>
    <mergeCell ref="IOQ22:IOU22"/>
    <mergeCell ref="IOV22:IOZ22"/>
    <mergeCell ref="IPA22:IPE22"/>
    <mergeCell ref="IPF22:IPJ22"/>
    <mergeCell ref="IPK22:IPO22"/>
    <mergeCell ref="IPP22:IPT22"/>
    <mergeCell ref="IPU22:IPY22"/>
    <mergeCell ref="IPZ22:IQD22"/>
    <mergeCell ref="IQE22:IQI22"/>
    <mergeCell ref="IQJ22:IQN22"/>
    <mergeCell ref="IQO22:IQS22"/>
    <mergeCell ref="IQT22:IQX22"/>
    <mergeCell ref="IQY22:IRC22"/>
    <mergeCell ref="IRD22:IRH22"/>
    <mergeCell ref="IRI22:IRM22"/>
    <mergeCell ref="IRN22:IRR22"/>
    <mergeCell ref="IRS22:IRW22"/>
    <mergeCell ref="IRX22:ISB22"/>
    <mergeCell ref="ISC22:ISG22"/>
    <mergeCell ref="ISH22:ISL22"/>
    <mergeCell ref="ISM22:ISQ22"/>
    <mergeCell ref="ISR22:ISV22"/>
    <mergeCell ref="ISW22:ITA22"/>
    <mergeCell ref="ITB22:ITF22"/>
    <mergeCell ref="ITG22:ITK22"/>
    <mergeCell ref="ITL22:ITP22"/>
    <mergeCell ref="ITQ22:ITU22"/>
    <mergeCell ref="ITV22:ITZ22"/>
    <mergeCell ref="IUA22:IUE22"/>
    <mergeCell ref="IUF22:IUJ22"/>
    <mergeCell ref="IUK22:IUO22"/>
    <mergeCell ref="IUP22:IUT22"/>
    <mergeCell ref="IUU22:IUY22"/>
    <mergeCell ref="IUZ22:IVD22"/>
    <mergeCell ref="IVE22:IVI22"/>
    <mergeCell ref="IVJ22:IVN22"/>
    <mergeCell ref="IVO22:IVS22"/>
    <mergeCell ref="IVT22:IVX22"/>
    <mergeCell ref="IVY22:IWC22"/>
    <mergeCell ref="IWD22:IWH22"/>
    <mergeCell ref="IWI22:IWM22"/>
    <mergeCell ref="IWN22:IWR22"/>
    <mergeCell ref="IWS22:IWW22"/>
    <mergeCell ref="IWX22:IXB22"/>
    <mergeCell ref="IXC22:IXG22"/>
    <mergeCell ref="IXH22:IXL22"/>
    <mergeCell ref="IXM22:IXQ22"/>
    <mergeCell ref="IXR22:IXV22"/>
    <mergeCell ref="IXW22:IYA22"/>
    <mergeCell ref="IYB22:IYF22"/>
    <mergeCell ref="IYG22:IYK22"/>
    <mergeCell ref="IYL22:IYP22"/>
    <mergeCell ref="IYQ22:IYU22"/>
    <mergeCell ref="IYV22:IYZ22"/>
    <mergeCell ref="IZA22:IZE22"/>
    <mergeCell ref="IZF22:IZJ22"/>
    <mergeCell ref="IZK22:IZO22"/>
    <mergeCell ref="IZP22:IZT22"/>
    <mergeCell ref="IZU22:IZY22"/>
    <mergeCell ref="IZZ22:JAD22"/>
    <mergeCell ref="JAE22:JAI22"/>
    <mergeCell ref="JAJ22:JAN22"/>
    <mergeCell ref="JAO22:JAS22"/>
    <mergeCell ref="JAT22:JAX22"/>
    <mergeCell ref="JAY22:JBC22"/>
    <mergeCell ref="JBD22:JBH22"/>
    <mergeCell ref="JBI22:JBM22"/>
    <mergeCell ref="JBN22:JBR22"/>
    <mergeCell ref="JBS22:JBW22"/>
    <mergeCell ref="JBX22:JCB22"/>
    <mergeCell ref="JCC22:JCG22"/>
    <mergeCell ref="JCH22:JCL22"/>
    <mergeCell ref="JCM22:JCQ22"/>
    <mergeCell ref="JCR22:JCV22"/>
    <mergeCell ref="JCW22:JDA22"/>
    <mergeCell ref="JDB22:JDF22"/>
    <mergeCell ref="JDG22:JDK22"/>
    <mergeCell ref="JDL22:JDP22"/>
    <mergeCell ref="JDQ22:JDU22"/>
    <mergeCell ref="JDV22:JDZ22"/>
    <mergeCell ref="JEA22:JEE22"/>
    <mergeCell ref="JEF22:JEJ22"/>
    <mergeCell ref="JEK22:JEO22"/>
    <mergeCell ref="JEP22:JET22"/>
    <mergeCell ref="JEU22:JEY22"/>
    <mergeCell ref="JEZ22:JFD22"/>
    <mergeCell ref="JFE22:JFI22"/>
    <mergeCell ref="JFJ22:JFN22"/>
    <mergeCell ref="JFO22:JFS22"/>
    <mergeCell ref="JFT22:JFX22"/>
    <mergeCell ref="JFY22:JGC22"/>
    <mergeCell ref="JGD22:JGH22"/>
    <mergeCell ref="JGI22:JGM22"/>
    <mergeCell ref="JGN22:JGR22"/>
    <mergeCell ref="JGS22:JGW22"/>
    <mergeCell ref="JGX22:JHB22"/>
    <mergeCell ref="JHC22:JHG22"/>
    <mergeCell ref="JHH22:JHL22"/>
    <mergeCell ref="JHM22:JHQ22"/>
    <mergeCell ref="JHR22:JHV22"/>
    <mergeCell ref="JHW22:JIA22"/>
    <mergeCell ref="JIB22:JIF22"/>
    <mergeCell ref="JIG22:JIK22"/>
    <mergeCell ref="JIL22:JIP22"/>
    <mergeCell ref="JIQ22:JIU22"/>
    <mergeCell ref="JIV22:JIZ22"/>
    <mergeCell ref="JJA22:JJE22"/>
    <mergeCell ref="JJF22:JJJ22"/>
    <mergeCell ref="JJK22:JJO22"/>
    <mergeCell ref="JJP22:JJT22"/>
    <mergeCell ref="JJU22:JJY22"/>
    <mergeCell ref="JJZ22:JKD22"/>
    <mergeCell ref="JKE22:JKI22"/>
    <mergeCell ref="JKJ22:JKN22"/>
    <mergeCell ref="JKO22:JKS22"/>
    <mergeCell ref="JKT22:JKX22"/>
    <mergeCell ref="JKY22:JLC22"/>
    <mergeCell ref="JLD22:JLH22"/>
    <mergeCell ref="JLI22:JLM22"/>
    <mergeCell ref="JLN22:JLR22"/>
    <mergeCell ref="JLS22:JLW22"/>
    <mergeCell ref="JLX22:JMB22"/>
    <mergeCell ref="JMC22:JMG22"/>
    <mergeCell ref="JMH22:JML22"/>
    <mergeCell ref="JMM22:JMQ22"/>
    <mergeCell ref="JMR22:JMV22"/>
    <mergeCell ref="JMW22:JNA22"/>
    <mergeCell ref="JNB22:JNF22"/>
    <mergeCell ref="JNG22:JNK22"/>
    <mergeCell ref="JNL22:JNP22"/>
    <mergeCell ref="JNQ22:JNU22"/>
    <mergeCell ref="JNV22:JNZ22"/>
    <mergeCell ref="JOA22:JOE22"/>
    <mergeCell ref="JOF22:JOJ22"/>
    <mergeCell ref="JOK22:JOO22"/>
    <mergeCell ref="JOP22:JOT22"/>
    <mergeCell ref="JOU22:JOY22"/>
    <mergeCell ref="JOZ22:JPD22"/>
    <mergeCell ref="JPE22:JPI22"/>
    <mergeCell ref="JPJ22:JPN22"/>
    <mergeCell ref="JPO22:JPS22"/>
    <mergeCell ref="JPT22:JPX22"/>
    <mergeCell ref="JPY22:JQC22"/>
    <mergeCell ref="JQD22:JQH22"/>
    <mergeCell ref="JQI22:JQM22"/>
    <mergeCell ref="JQN22:JQR22"/>
    <mergeCell ref="JQS22:JQW22"/>
    <mergeCell ref="JQX22:JRB22"/>
    <mergeCell ref="JRC22:JRG22"/>
    <mergeCell ref="JRH22:JRL22"/>
    <mergeCell ref="JRM22:JRQ22"/>
    <mergeCell ref="JRR22:JRV22"/>
    <mergeCell ref="JRW22:JSA22"/>
    <mergeCell ref="JSB22:JSF22"/>
    <mergeCell ref="JSG22:JSK22"/>
    <mergeCell ref="JSL22:JSP22"/>
    <mergeCell ref="JSQ22:JSU22"/>
    <mergeCell ref="JSV22:JSZ22"/>
    <mergeCell ref="JTA22:JTE22"/>
    <mergeCell ref="JTF22:JTJ22"/>
    <mergeCell ref="JTK22:JTO22"/>
    <mergeCell ref="JTP22:JTT22"/>
    <mergeCell ref="JTU22:JTY22"/>
    <mergeCell ref="JTZ22:JUD22"/>
    <mergeCell ref="JUE22:JUI22"/>
    <mergeCell ref="JUJ22:JUN22"/>
    <mergeCell ref="JUO22:JUS22"/>
    <mergeCell ref="JUT22:JUX22"/>
    <mergeCell ref="JUY22:JVC22"/>
    <mergeCell ref="JVD22:JVH22"/>
    <mergeCell ref="JVI22:JVM22"/>
    <mergeCell ref="JVN22:JVR22"/>
    <mergeCell ref="JVS22:JVW22"/>
    <mergeCell ref="JVX22:JWB22"/>
    <mergeCell ref="JWC22:JWG22"/>
    <mergeCell ref="JWH22:JWL22"/>
    <mergeCell ref="JWM22:JWQ22"/>
    <mergeCell ref="JWR22:JWV22"/>
    <mergeCell ref="JWW22:JXA22"/>
    <mergeCell ref="JXB22:JXF22"/>
    <mergeCell ref="JXG22:JXK22"/>
    <mergeCell ref="JXL22:JXP22"/>
    <mergeCell ref="JXQ22:JXU22"/>
    <mergeCell ref="JXV22:JXZ22"/>
    <mergeCell ref="JYA22:JYE22"/>
    <mergeCell ref="JYF22:JYJ22"/>
    <mergeCell ref="JYK22:JYO22"/>
    <mergeCell ref="JYP22:JYT22"/>
    <mergeCell ref="JYU22:JYY22"/>
    <mergeCell ref="JYZ22:JZD22"/>
    <mergeCell ref="JZE22:JZI22"/>
    <mergeCell ref="JZJ22:JZN22"/>
    <mergeCell ref="JZO22:JZS22"/>
    <mergeCell ref="JZT22:JZX22"/>
    <mergeCell ref="JZY22:KAC22"/>
    <mergeCell ref="KAD22:KAH22"/>
    <mergeCell ref="KAI22:KAM22"/>
    <mergeCell ref="KAN22:KAR22"/>
    <mergeCell ref="KAS22:KAW22"/>
    <mergeCell ref="KAX22:KBB22"/>
    <mergeCell ref="KBC22:KBG22"/>
    <mergeCell ref="KBH22:KBL22"/>
    <mergeCell ref="KBM22:KBQ22"/>
    <mergeCell ref="KBR22:KBV22"/>
    <mergeCell ref="KBW22:KCA22"/>
    <mergeCell ref="KCB22:KCF22"/>
    <mergeCell ref="KCG22:KCK22"/>
    <mergeCell ref="KCL22:KCP22"/>
    <mergeCell ref="KCQ22:KCU22"/>
    <mergeCell ref="KCV22:KCZ22"/>
    <mergeCell ref="KDA22:KDE22"/>
    <mergeCell ref="KDF22:KDJ22"/>
    <mergeCell ref="KDK22:KDO22"/>
    <mergeCell ref="KDP22:KDT22"/>
    <mergeCell ref="KDU22:KDY22"/>
    <mergeCell ref="KDZ22:KED22"/>
    <mergeCell ref="KEE22:KEI22"/>
    <mergeCell ref="KEJ22:KEN22"/>
    <mergeCell ref="KEO22:KES22"/>
    <mergeCell ref="KET22:KEX22"/>
    <mergeCell ref="KEY22:KFC22"/>
    <mergeCell ref="KFD22:KFH22"/>
    <mergeCell ref="KFI22:KFM22"/>
    <mergeCell ref="KFN22:KFR22"/>
    <mergeCell ref="KFS22:KFW22"/>
    <mergeCell ref="KFX22:KGB22"/>
    <mergeCell ref="KGC22:KGG22"/>
    <mergeCell ref="KGH22:KGL22"/>
    <mergeCell ref="KGM22:KGQ22"/>
    <mergeCell ref="KGR22:KGV22"/>
    <mergeCell ref="KGW22:KHA22"/>
    <mergeCell ref="KHB22:KHF22"/>
    <mergeCell ref="KHG22:KHK22"/>
    <mergeCell ref="KHL22:KHP22"/>
    <mergeCell ref="KHQ22:KHU22"/>
    <mergeCell ref="KHV22:KHZ22"/>
    <mergeCell ref="KIA22:KIE22"/>
    <mergeCell ref="KIF22:KIJ22"/>
    <mergeCell ref="KIK22:KIO22"/>
    <mergeCell ref="KIP22:KIT22"/>
    <mergeCell ref="KIU22:KIY22"/>
    <mergeCell ref="KIZ22:KJD22"/>
    <mergeCell ref="KJE22:KJI22"/>
    <mergeCell ref="KJJ22:KJN22"/>
    <mergeCell ref="KJO22:KJS22"/>
    <mergeCell ref="KJT22:KJX22"/>
    <mergeCell ref="KJY22:KKC22"/>
    <mergeCell ref="KKD22:KKH22"/>
    <mergeCell ref="KKI22:KKM22"/>
    <mergeCell ref="KKN22:KKR22"/>
    <mergeCell ref="KKS22:KKW22"/>
    <mergeCell ref="KKX22:KLB22"/>
    <mergeCell ref="KLC22:KLG22"/>
    <mergeCell ref="KLH22:KLL22"/>
    <mergeCell ref="KLM22:KLQ22"/>
    <mergeCell ref="KLR22:KLV22"/>
    <mergeCell ref="KLW22:KMA22"/>
    <mergeCell ref="KMB22:KMF22"/>
    <mergeCell ref="KMG22:KMK22"/>
    <mergeCell ref="KML22:KMP22"/>
    <mergeCell ref="KMQ22:KMU22"/>
    <mergeCell ref="KMV22:KMZ22"/>
    <mergeCell ref="KNA22:KNE22"/>
    <mergeCell ref="KNF22:KNJ22"/>
    <mergeCell ref="KNK22:KNO22"/>
    <mergeCell ref="KNP22:KNT22"/>
    <mergeCell ref="KNU22:KNY22"/>
    <mergeCell ref="KNZ22:KOD22"/>
    <mergeCell ref="KOE22:KOI22"/>
    <mergeCell ref="KOJ22:KON22"/>
    <mergeCell ref="KOO22:KOS22"/>
    <mergeCell ref="KOT22:KOX22"/>
    <mergeCell ref="KOY22:KPC22"/>
    <mergeCell ref="KPD22:KPH22"/>
    <mergeCell ref="KPI22:KPM22"/>
    <mergeCell ref="KPN22:KPR22"/>
    <mergeCell ref="KPS22:KPW22"/>
    <mergeCell ref="KPX22:KQB22"/>
    <mergeCell ref="KQC22:KQG22"/>
    <mergeCell ref="KQH22:KQL22"/>
    <mergeCell ref="KQM22:KQQ22"/>
    <mergeCell ref="KQR22:KQV22"/>
    <mergeCell ref="KQW22:KRA22"/>
    <mergeCell ref="KRB22:KRF22"/>
    <mergeCell ref="KRG22:KRK22"/>
    <mergeCell ref="KRL22:KRP22"/>
    <mergeCell ref="KRQ22:KRU22"/>
    <mergeCell ref="KRV22:KRZ22"/>
    <mergeCell ref="KSA22:KSE22"/>
    <mergeCell ref="KSF22:KSJ22"/>
    <mergeCell ref="KSK22:KSO22"/>
    <mergeCell ref="KSP22:KST22"/>
    <mergeCell ref="KSU22:KSY22"/>
    <mergeCell ref="KSZ22:KTD22"/>
    <mergeCell ref="KTE22:KTI22"/>
    <mergeCell ref="KTJ22:KTN22"/>
    <mergeCell ref="KTO22:KTS22"/>
    <mergeCell ref="KTT22:KTX22"/>
    <mergeCell ref="KTY22:KUC22"/>
    <mergeCell ref="KUD22:KUH22"/>
    <mergeCell ref="KUI22:KUM22"/>
    <mergeCell ref="KUN22:KUR22"/>
    <mergeCell ref="KUS22:KUW22"/>
    <mergeCell ref="KUX22:KVB22"/>
    <mergeCell ref="KVC22:KVG22"/>
    <mergeCell ref="KVH22:KVL22"/>
    <mergeCell ref="KVM22:KVQ22"/>
    <mergeCell ref="KVR22:KVV22"/>
    <mergeCell ref="KVW22:KWA22"/>
    <mergeCell ref="KWB22:KWF22"/>
    <mergeCell ref="KWG22:KWK22"/>
    <mergeCell ref="KWL22:KWP22"/>
    <mergeCell ref="KWQ22:KWU22"/>
    <mergeCell ref="KWV22:KWZ22"/>
    <mergeCell ref="KXA22:KXE22"/>
    <mergeCell ref="KXF22:KXJ22"/>
    <mergeCell ref="KXK22:KXO22"/>
    <mergeCell ref="KXP22:KXT22"/>
    <mergeCell ref="KXU22:KXY22"/>
    <mergeCell ref="KXZ22:KYD22"/>
    <mergeCell ref="KYE22:KYI22"/>
    <mergeCell ref="KYJ22:KYN22"/>
    <mergeCell ref="KYO22:KYS22"/>
    <mergeCell ref="KYT22:KYX22"/>
    <mergeCell ref="KYY22:KZC22"/>
    <mergeCell ref="KZD22:KZH22"/>
    <mergeCell ref="KZI22:KZM22"/>
    <mergeCell ref="KZN22:KZR22"/>
    <mergeCell ref="KZS22:KZW22"/>
    <mergeCell ref="KZX22:LAB22"/>
    <mergeCell ref="LAC22:LAG22"/>
    <mergeCell ref="LAH22:LAL22"/>
    <mergeCell ref="LAM22:LAQ22"/>
    <mergeCell ref="LAR22:LAV22"/>
    <mergeCell ref="LAW22:LBA22"/>
    <mergeCell ref="LBB22:LBF22"/>
    <mergeCell ref="LBG22:LBK22"/>
    <mergeCell ref="LBL22:LBP22"/>
    <mergeCell ref="LBQ22:LBU22"/>
    <mergeCell ref="LBV22:LBZ22"/>
    <mergeCell ref="LCA22:LCE22"/>
    <mergeCell ref="LCF22:LCJ22"/>
    <mergeCell ref="LCK22:LCO22"/>
    <mergeCell ref="LCP22:LCT22"/>
    <mergeCell ref="LCU22:LCY22"/>
    <mergeCell ref="LCZ22:LDD22"/>
    <mergeCell ref="LDE22:LDI22"/>
    <mergeCell ref="LDJ22:LDN22"/>
    <mergeCell ref="LDO22:LDS22"/>
    <mergeCell ref="LDT22:LDX22"/>
    <mergeCell ref="LDY22:LEC22"/>
    <mergeCell ref="LED22:LEH22"/>
    <mergeCell ref="LEI22:LEM22"/>
    <mergeCell ref="LEN22:LER22"/>
    <mergeCell ref="LES22:LEW22"/>
    <mergeCell ref="LEX22:LFB22"/>
    <mergeCell ref="LFC22:LFG22"/>
    <mergeCell ref="LFH22:LFL22"/>
    <mergeCell ref="LFM22:LFQ22"/>
    <mergeCell ref="LFR22:LFV22"/>
    <mergeCell ref="LFW22:LGA22"/>
    <mergeCell ref="LGB22:LGF22"/>
    <mergeCell ref="LGG22:LGK22"/>
    <mergeCell ref="LGL22:LGP22"/>
    <mergeCell ref="LGQ22:LGU22"/>
    <mergeCell ref="LGV22:LGZ22"/>
    <mergeCell ref="LHA22:LHE22"/>
    <mergeCell ref="LHF22:LHJ22"/>
    <mergeCell ref="LHK22:LHO22"/>
    <mergeCell ref="LHP22:LHT22"/>
    <mergeCell ref="LHU22:LHY22"/>
    <mergeCell ref="LHZ22:LID22"/>
    <mergeCell ref="LIE22:LII22"/>
    <mergeCell ref="LIJ22:LIN22"/>
    <mergeCell ref="LIO22:LIS22"/>
    <mergeCell ref="LIT22:LIX22"/>
    <mergeCell ref="LIY22:LJC22"/>
    <mergeCell ref="LJD22:LJH22"/>
    <mergeCell ref="LJI22:LJM22"/>
    <mergeCell ref="LJN22:LJR22"/>
    <mergeCell ref="LJS22:LJW22"/>
    <mergeCell ref="LJX22:LKB22"/>
    <mergeCell ref="LKC22:LKG22"/>
    <mergeCell ref="LKH22:LKL22"/>
    <mergeCell ref="LKM22:LKQ22"/>
    <mergeCell ref="LKR22:LKV22"/>
    <mergeCell ref="LKW22:LLA22"/>
    <mergeCell ref="LLB22:LLF22"/>
    <mergeCell ref="LLG22:LLK22"/>
    <mergeCell ref="LLL22:LLP22"/>
    <mergeCell ref="LLQ22:LLU22"/>
    <mergeCell ref="LLV22:LLZ22"/>
    <mergeCell ref="LMA22:LME22"/>
    <mergeCell ref="LMF22:LMJ22"/>
    <mergeCell ref="LMK22:LMO22"/>
    <mergeCell ref="LMP22:LMT22"/>
    <mergeCell ref="LMU22:LMY22"/>
    <mergeCell ref="LMZ22:LND22"/>
    <mergeCell ref="LNE22:LNI22"/>
    <mergeCell ref="LNJ22:LNN22"/>
    <mergeCell ref="LNO22:LNS22"/>
    <mergeCell ref="LNT22:LNX22"/>
    <mergeCell ref="LNY22:LOC22"/>
    <mergeCell ref="LOD22:LOH22"/>
    <mergeCell ref="LOI22:LOM22"/>
    <mergeCell ref="LON22:LOR22"/>
    <mergeCell ref="LOS22:LOW22"/>
    <mergeCell ref="LOX22:LPB22"/>
    <mergeCell ref="LPC22:LPG22"/>
    <mergeCell ref="LPH22:LPL22"/>
    <mergeCell ref="LPM22:LPQ22"/>
    <mergeCell ref="LPR22:LPV22"/>
    <mergeCell ref="LPW22:LQA22"/>
    <mergeCell ref="LQB22:LQF22"/>
    <mergeCell ref="LQG22:LQK22"/>
    <mergeCell ref="LQL22:LQP22"/>
    <mergeCell ref="LQQ22:LQU22"/>
    <mergeCell ref="LQV22:LQZ22"/>
    <mergeCell ref="LRA22:LRE22"/>
    <mergeCell ref="LRF22:LRJ22"/>
    <mergeCell ref="LRK22:LRO22"/>
    <mergeCell ref="LRP22:LRT22"/>
    <mergeCell ref="LRU22:LRY22"/>
    <mergeCell ref="LRZ22:LSD22"/>
    <mergeCell ref="LSE22:LSI22"/>
    <mergeCell ref="LSJ22:LSN22"/>
    <mergeCell ref="LSO22:LSS22"/>
    <mergeCell ref="LST22:LSX22"/>
    <mergeCell ref="LSY22:LTC22"/>
    <mergeCell ref="LTD22:LTH22"/>
    <mergeCell ref="LTI22:LTM22"/>
    <mergeCell ref="LTN22:LTR22"/>
    <mergeCell ref="LTS22:LTW22"/>
    <mergeCell ref="LTX22:LUB22"/>
    <mergeCell ref="LUC22:LUG22"/>
    <mergeCell ref="LUH22:LUL22"/>
    <mergeCell ref="LUM22:LUQ22"/>
    <mergeCell ref="LUR22:LUV22"/>
    <mergeCell ref="LUW22:LVA22"/>
    <mergeCell ref="LVB22:LVF22"/>
    <mergeCell ref="LVG22:LVK22"/>
    <mergeCell ref="LVL22:LVP22"/>
    <mergeCell ref="LVQ22:LVU22"/>
    <mergeCell ref="LVV22:LVZ22"/>
    <mergeCell ref="LWA22:LWE22"/>
    <mergeCell ref="LWF22:LWJ22"/>
    <mergeCell ref="LWK22:LWO22"/>
    <mergeCell ref="LWP22:LWT22"/>
    <mergeCell ref="LWU22:LWY22"/>
    <mergeCell ref="LWZ22:LXD22"/>
    <mergeCell ref="LXE22:LXI22"/>
    <mergeCell ref="LXJ22:LXN22"/>
    <mergeCell ref="LXO22:LXS22"/>
    <mergeCell ref="LXT22:LXX22"/>
    <mergeCell ref="LXY22:LYC22"/>
    <mergeCell ref="LYD22:LYH22"/>
    <mergeCell ref="LYI22:LYM22"/>
    <mergeCell ref="LYN22:LYR22"/>
    <mergeCell ref="LYS22:LYW22"/>
    <mergeCell ref="LYX22:LZB22"/>
    <mergeCell ref="LZC22:LZG22"/>
    <mergeCell ref="LZH22:LZL22"/>
    <mergeCell ref="LZM22:LZQ22"/>
    <mergeCell ref="LZR22:LZV22"/>
    <mergeCell ref="LZW22:MAA22"/>
    <mergeCell ref="MAB22:MAF22"/>
    <mergeCell ref="MAG22:MAK22"/>
    <mergeCell ref="MAL22:MAP22"/>
    <mergeCell ref="MAQ22:MAU22"/>
    <mergeCell ref="MAV22:MAZ22"/>
    <mergeCell ref="MBA22:MBE22"/>
    <mergeCell ref="MBF22:MBJ22"/>
    <mergeCell ref="MBK22:MBO22"/>
    <mergeCell ref="MBP22:MBT22"/>
    <mergeCell ref="MBU22:MBY22"/>
    <mergeCell ref="MBZ22:MCD22"/>
    <mergeCell ref="MCE22:MCI22"/>
    <mergeCell ref="MCJ22:MCN22"/>
    <mergeCell ref="MCO22:MCS22"/>
    <mergeCell ref="MCT22:MCX22"/>
    <mergeCell ref="MCY22:MDC22"/>
    <mergeCell ref="MDD22:MDH22"/>
    <mergeCell ref="MDI22:MDM22"/>
    <mergeCell ref="MDN22:MDR22"/>
    <mergeCell ref="MDS22:MDW22"/>
    <mergeCell ref="MDX22:MEB22"/>
    <mergeCell ref="MEC22:MEG22"/>
    <mergeCell ref="MEH22:MEL22"/>
    <mergeCell ref="MEM22:MEQ22"/>
    <mergeCell ref="MER22:MEV22"/>
    <mergeCell ref="MEW22:MFA22"/>
    <mergeCell ref="MFB22:MFF22"/>
    <mergeCell ref="MFG22:MFK22"/>
    <mergeCell ref="MFL22:MFP22"/>
    <mergeCell ref="MFQ22:MFU22"/>
    <mergeCell ref="MFV22:MFZ22"/>
    <mergeCell ref="MGA22:MGE22"/>
    <mergeCell ref="MGF22:MGJ22"/>
    <mergeCell ref="MGK22:MGO22"/>
    <mergeCell ref="MGP22:MGT22"/>
    <mergeCell ref="MGU22:MGY22"/>
    <mergeCell ref="MGZ22:MHD22"/>
    <mergeCell ref="MHE22:MHI22"/>
    <mergeCell ref="MHJ22:MHN22"/>
    <mergeCell ref="MHO22:MHS22"/>
    <mergeCell ref="MHT22:MHX22"/>
    <mergeCell ref="MHY22:MIC22"/>
    <mergeCell ref="MID22:MIH22"/>
    <mergeCell ref="MII22:MIM22"/>
    <mergeCell ref="MIN22:MIR22"/>
    <mergeCell ref="MIS22:MIW22"/>
    <mergeCell ref="MIX22:MJB22"/>
    <mergeCell ref="MJC22:MJG22"/>
    <mergeCell ref="MJH22:MJL22"/>
    <mergeCell ref="MJM22:MJQ22"/>
    <mergeCell ref="MJR22:MJV22"/>
    <mergeCell ref="MJW22:MKA22"/>
    <mergeCell ref="MKB22:MKF22"/>
    <mergeCell ref="MKG22:MKK22"/>
    <mergeCell ref="MKL22:MKP22"/>
    <mergeCell ref="MKQ22:MKU22"/>
    <mergeCell ref="MKV22:MKZ22"/>
    <mergeCell ref="MLA22:MLE22"/>
    <mergeCell ref="MLF22:MLJ22"/>
    <mergeCell ref="MLK22:MLO22"/>
    <mergeCell ref="MLP22:MLT22"/>
    <mergeCell ref="MLU22:MLY22"/>
    <mergeCell ref="MLZ22:MMD22"/>
    <mergeCell ref="MME22:MMI22"/>
    <mergeCell ref="MMJ22:MMN22"/>
    <mergeCell ref="MMO22:MMS22"/>
    <mergeCell ref="MMT22:MMX22"/>
    <mergeCell ref="MMY22:MNC22"/>
    <mergeCell ref="MND22:MNH22"/>
    <mergeCell ref="MNI22:MNM22"/>
    <mergeCell ref="MNN22:MNR22"/>
    <mergeCell ref="MNS22:MNW22"/>
    <mergeCell ref="MNX22:MOB22"/>
    <mergeCell ref="MOC22:MOG22"/>
    <mergeCell ref="MOH22:MOL22"/>
    <mergeCell ref="MOM22:MOQ22"/>
    <mergeCell ref="MOR22:MOV22"/>
    <mergeCell ref="MOW22:MPA22"/>
    <mergeCell ref="MPB22:MPF22"/>
    <mergeCell ref="MPG22:MPK22"/>
    <mergeCell ref="MPL22:MPP22"/>
    <mergeCell ref="MPQ22:MPU22"/>
    <mergeCell ref="MPV22:MPZ22"/>
    <mergeCell ref="MQA22:MQE22"/>
    <mergeCell ref="MQF22:MQJ22"/>
    <mergeCell ref="MQK22:MQO22"/>
    <mergeCell ref="MQP22:MQT22"/>
    <mergeCell ref="MQU22:MQY22"/>
    <mergeCell ref="MQZ22:MRD22"/>
    <mergeCell ref="MRE22:MRI22"/>
    <mergeCell ref="MRJ22:MRN22"/>
    <mergeCell ref="MRO22:MRS22"/>
    <mergeCell ref="MRT22:MRX22"/>
    <mergeCell ref="MRY22:MSC22"/>
    <mergeCell ref="MSD22:MSH22"/>
    <mergeCell ref="MSI22:MSM22"/>
    <mergeCell ref="MSN22:MSR22"/>
    <mergeCell ref="MSS22:MSW22"/>
    <mergeCell ref="MSX22:MTB22"/>
    <mergeCell ref="MTC22:MTG22"/>
    <mergeCell ref="MTH22:MTL22"/>
    <mergeCell ref="MTM22:MTQ22"/>
    <mergeCell ref="MTR22:MTV22"/>
    <mergeCell ref="MTW22:MUA22"/>
    <mergeCell ref="MUB22:MUF22"/>
    <mergeCell ref="MUG22:MUK22"/>
    <mergeCell ref="MUL22:MUP22"/>
    <mergeCell ref="MUQ22:MUU22"/>
    <mergeCell ref="MUV22:MUZ22"/>
    <mergeCell ref="MVA22:MVE22"/>
    <mergeCell ref="MVF22:MVJ22"/>
    <mergeCell ref="MVK22:MVO22"/>
    <mergeCell ref="MVP22:MVT22"/>
    <mergeCell ref="MVU22:MVY22"/>
    <mergeCell ref="MVZ22:MWD22"/>
    <mergeCell ref="MWE22:MWI22"/>
    <mergeCell ref="MWJ22:MWN22"/>
    <mergeCell ref="MWO22:MWS22"/>
    <mergeCell ref="MWT22:MWX22"/>
    <mergeCell ref="MWY22:MXC22"/>
    <mergeCell ref="MXD22:MXH22"/>
    <mergeCell ref="MXI22:MXM22"/>
    <mergeCell ref="MXN22:MXR22"/>
    <mergeCell ref="MXS22:MXW22"/>
    <mergeCell ref="MXX22:MYB22"/>
    <mergeCell ref="MYC22:MYG22"/>
    <mergeCell ref="MYH22:MYL22"/>
    <mergeCell ref="MYM22:MYQ22"/>
    <mergeCell ref="MYR22:MYV22"/>
    <mergeCell ref="MYW22:MZA22"/>
    <mergeCell ref="MZB22:MZF22"/>
    <mergeCell ref="MZG22:MZK22"/>
    <mergeCell ref="MZL22:MZP22"/>
    <mergeCell ref="MZQ22:MZU22"/>
    <mergeCell ref="MZV22:MZZ22"/>
    <mergeCell ref="NAA22:NAE22"/>
    <mergeCell ref="NAF22:NAJ22"/>
    <mergeCell ref="NAK22:NAO22"/>
    <mergeCell ref="NAP22:NAT22"/>
    <mergeCell ref="NAU22:NAY22"/>
    <mergeCell ref="NAZ22:NBD22"/>
    <mergeCell ref="NBE22:NBI22"/>
    <mergeCell ref="NBJ22:NBN22"/>
    <mergeCell ref="NBO22:NBS22"/>
    <mergeCell ref="NBT22:NBX22"/>
    <mergeCell ref="NBY22:NCC22"/>
    <mergeCell ref="NCD22:NCH22"/>
    <mergeCell ref="NCI22:NCM22"/>
    <mergeCell ref="NCN22:NCR22"/>
    <mergeCell ref="NCS22:NCW22"/>
    <mergeCell ref="NCX22:NDB22"/>
    <mergeCell ref="NDC22:NDG22"/>
    <mergeCell ref="NDH22:NDL22"/>
    <mergeCell ref="NDM22:NDQ22"/>
    <mergeCell ref="NDR22:NDV22"/>
    <mergeCell ref="NDW22:NEA22"/>
    <mergeCell ref="NEB22:NEF22"/>
    <mergeCell ref="NEG22:NEK22"/>
    <mergeCell ref="NEL22:NEP22"/>
    <mergeCell ref="NEQ22:NEU22"/>
    <mergeCell ref="NEV22:NEZ22"/>
    <mergeCell ref="NFA22:NFE22"/>
    <mergeCell ref="NFF22:NFJ22"/>
    <mergeCell ref="NFK22:NFO22"/>
    <mergeCell ref="NFP22:NFT22"/>
    <mergeCell ref="NFU22:NFY22"/>
    <mergeCell ref="NFZ22:NGD22"/>
    <mergeCell ref="NGE22:NGI22"/>
    <mergeCell ref="NGJ22:NGN22"/>
    <mergeCell ref="NGO22:NGS22"/>
    <mergeCell ref="NGT22:NGX22"/>
    <mergeCell ref="NGY22:NHC22"/>
    <mergeCell ref="NHD22:NHH22"/>
    <mergeCell ref="NHI22:NHM22"/>
    <mergeCell ref="NHN22:NHR22"/>
    <mergeCell ref="NHS22:NHW22"/>
    <mergeCell ref="NHX22:NIB22"/>
    <mergeCell ref="NIC22:NIG22"/>
    <mergeCell ref="NIH22:NIL22"/>
    <mergeCell ref="NIM22:NIQ22"/>
    <mergeCell ref="NIR22:NIV22"/>
    <mergeCell ref="NIW22:NJA22"/>
    <mergeCell ref="NJB22:NJF22"/>
    <mergeCell ref="NJG22:NJK22"/>
    <mergeCell ref="NJL22:NJP22"/>
    <mergeCell ref="NJQ22:NJU22"/>
    <mergeCell ref="NJV22:NJZ22"/>
    <mergeCell ref="NKA22:NKE22"/>
    <mergeCell ref="NKF22:NKJ22"/>
    <mergeCell ref="NKK22:NKO22"/>
    <mergeCell ref="NKP22:NKT22"/>
    <mergeCell ref="NKU22:NKY22"/>
    <mergeCell ref="NKZ22:NLD22"/>
    <mergeCell ref="NLE22:NLI22"/>
    <mergeCell ref="NLJ22:NLN22"/>
    <mergeCell ref="NLO22:NLS22"/>
    <mergeCell ref="NLT22:NLX22"/>
    <mergeCell ref="NLY22:NMC22"/>
    <mergeCell ref="NMD22:NMH22"/>
    <mergeCell ref="NMI22:NMM22"/>
    <mergeCell ref="NMN22:NMR22"/>
    <mergeCell ref="NMS22:NMW22"/>
    <mergeCell ref="NMX22:NNB22"/>
    <mergeCell ref="NNC22:NNG22"/>
    <mergeCell ref="NNH22:NNL22"/>
    <mergeCell ref="NNM22:NNQ22"/>
    <mergeCell ref="NNR22:NNV22"/>
    <mergeCell ref="NNW22:NOA22"/>
    <mergeCell ref="NOB22:NOF22"/>
    <mergeCell ref="NOG22:NOK22"/>
    <mergeCell ref="NOL22:NOP22"/>
    <mergeCell ref="NOQ22:NOU22"/>
    <mergeCell ref="NOV22:NOZ22"/>
    <mergeCell ref="NPA22:NPE22"/>
    <mergeCell ref="NPF22:NPJ22"/>
    <mergeCell ref="NPK22:NPO22"/>
    <mergeCell ref="NPP22:NPT22"/>
    <mergeCell ref="NPU22:NPY22"/>
    <mergeCell ref="NPZ22:NQD22"/>
    <mergeCell ref="NQE22:NQI22"/>
    <mergeCell ref="NQJ22:NQN22"/>
    <mergeCell ref="NQO22:NQS22"/>
    <mergeCell ref="NQT22:NQX22"/>
    <mergeCell ref="NQY22:NRC22"/>
    <mergeCell ref="NRD22:NRH22"/>
    <mergeCell ref="NRI22:NRM22"/>
    <mergeCell ref="NRN22:NRR22"/>
    <mergeCell ref="NRS22:NRW22"/>
    <mergeCell ref="NRX22:NSB22"/>
    <mergeCell ref="NSC22:NSG22"/>
    <mergeCell ref="NSH22:NSL22"/>
    <mergeCell ref="NSM22:NSQ22"/>
    <mergeCell ref="NSR22:NSV22"/>
    <mergeCell ref="NSW22:NTA22"/>
    <mergeCell ref="NTB22:NTF22"/>
    <mergeCell ref="NTG22:NTK22"/>
    <mergeCell ref="NTL22:NTP22"/>
    <mergeCell ref="NTQ22:NTU22"/>
    <mergeCell ref="NTV22:NTZ22"/>
    <mergeCell ref="NUA22:NUE22"/>
    <mergeCell ref="NUF22:NUJ22"/>
    <mergeCell ref="NUK22:NUO22"/>
    <mergeCell ref="NUP22:NUT22"/>
    <mergeCell ref="NUU22:NUY22"/>
    <mergeCell ref="NUZ22:NVD22"/>
    <mergeCell ref="NVE22:NVI22"/>
    <mergeCell ref="NVJ22:NVN22"/>
    <mergeCell ref="NVO22:NVS22"/>
    <mergeCell ref="NVT22:NVX22"/>
    <mergeCell ref="NVY22:NWC22"/>
    <mergeCell ref="NWD22:NWH22"/>
    <mergeCell ref="NWI22:NWM22"/>
    <mergeCell ref="NWN22:NWR22"/>
    <mergeCell ref="NWS22:NWW22"/>
    <mergeCell ref="NWX22:NXB22"/>
    <mergeCell ref="NXC22:NXG22"/>
    <mergeCell ref="NXH22:NXL22"/>
    <mergeCell ref="NXM22:NXQ22"/>
    <mergeCell ref="NXR22:NXV22"/>
    <mergeCell ref="NXW22:NYA22"/>
    <mergeCell ref="NYB22:NYF22"/>
    <mergeCell ref="NYG22:NYK22"/>
    <mergeCell ref="NYL22:NYP22"/>
    <mergeCell ref="NYQ22:NYU22"/>
    <mergeCell ref="NYV22:NYZ22"/>
    <mergeCell ref="NZA22:NZE22"/>
    <mergeCell ref="NZF22:NZJ22"/>
    <mergeCell ref="NZK22:NZO22"/>
    <mergeCell ref="NZP22:NZT22"/>
    <mergeCell ref="NZU22:NZY22"/>
    <mergeCell ref="NZZ22:OAD22"/>
    <mergeCell ref="OAE22:OAI22"/>
    <mergeCell ref="OAJ22:OAN22"/>
    <mergeCell ref="OAO22:OAS22"/>
    <mergeCell ref="OAT22:OAX22"/>
    <mergeCell ref="OAY22:OBC22"/>
    <mergeCell ref="OBD22:OBH22"/>
    <mergeCell ref="OBI22:OBM22"/>
    <mergeCell ref="OBN22:OBR22"/>
    <mergeCell ref="OBS22:OBW22"/>
    <mergeCell ref="OBX22:OCB22"/>
    <mergeCell ref="OCC22:OCG22"/>
    <mergeCell ref="OCH22:OCL22"/>
    <mergeCell ref="OCM22:OCQ22"/>
    <mergeCell ref="OCR22:OCV22"/>
    <mergeCell ref="OCW22:ODA22"/>
    <mergeCell ref="ODB22:ODF22"/>
    <mergeCell ref="ODG22:ODK22"/>
    <mergeCell ref="ODL22:ODP22"/>
    <mergeCell ref="ODQ22:ODU22"/>
    <mergeCell ref="ODV22:ODZ22"/>
    <mergeCell ref="OEA22:OEE22"/>
    <mergeCell ref="OEF22:OEJ22"/>
    <mergeCell ref="OEK22:OEO22"/>
    <mergeCell ref="OEP22:OET22"/>
    <mergeCell ref="OEU22:OEY22"/>
    <mergeCell ref="OEZ22:OFD22"/>
    <mergeCell ref="OFE22:OFI22"/>
    <mergeCell ref="OFJ22:OFN22"/>
    <mergeCell ref="OFO22:OFS22"/>
    <mergeCell ref="OFT22:OFX22"/>
    <mergeCell ref="OFY22:OGC22"/>
    <mergeCell ref="OGD22:OGH22"/>
    <mergeCell ref="OGI22:OGM22"/>
    <mergeCell ref="OGN22:OGR22"/>
    <mergeCell ref="OGS22:OGW22"/>
    <mergeCell ref="OGX22:OHB22"/>
    <mergeCell ref="OHC22:OHG22"/>
    <mergeCell ref="OHH22:OHL22"/>
    <mergeCell ref="OHM22:OHQ22"/>
    <mergeCell ref="OHR22:OHV22"/>
    <mergeCell ref="OHW22:OIA22"/>
    <mergeCell ref="OIB22:OIF22"/>
    <mergeCell ref="OIG22:OIK22"/>
    <mergeCell ref="OIL22:OIP22"/>
    <mergeCell ref="OIQ22:OIU22"/>
    <mergeCell ref="OIV22:OIZ22"/>
    <mergeCell ref="OJA22:OJE22"/>
    <mergeCell ref="OJF22:OJJ22"/>
    <mergeCell ref="OJK22:OJO22"/>
    <mergeCell ref="OJP22:OJT22"/>
    <mergeCell ref="OJU22:OJY22"/>
    <mergeCell ref="OJZ22:OKD22"/>
    <mergeCell ref="OKE22:OKI22"/>
    <mergeCell ref="OKJ22:OKN22"/>
    <mergeCell ref="OKO22:OKS22"/>
    <mergeCell ref="OKT22:OKX22"/>
    <mergeCell ref="OKY22:OLC22"/>
    <mergeCell ref="OLD22:OLH22"/>
    <mergeCell ref="OLI22:OLM22"/>
    <mergeCell ref="OLN22:OLR22"/>
    <mergeCell ref="OLS22:OLW22"/>
    <mergeCell ref="OLX22:OMB22"/>
    <mergeCell ref="OMC22:OMG22"/>
    <mergeCell ref="OMH22:OML22"/>
    <mergeCell ref="OMM22:OMQ22"/>
    <mergeCell ref="OMR22:OMV22"/>
    <mergeCell ref="OMW22:ONA22"/>
    <mergeCell ref="ONB22:ONF22"/>
    <mergeCell ref="ONG22:ONK22"/>
    <mergeCell ref="ONL22:ONP22"/>
    <mergeCell ref="ONQ22:ONU22"/>
    <mergeCell ref="ONV22:ONZ22"/>
    <mergeCell ref="OOA22:OOE22"/>
    <mergeCell ref="OOF22:OOJ22"/>
    <mergeCell ref="OOK22:OOO22"/>
    <mergeCell ref="OOP22:OOT22"/>
    <mergeCell ref="OOU22:OOY22"/>
    <mergeCell ref="OOZ22:OPD22"/>
    <mergeCell ref="OPE22:OPI22"/>
    <mergeCell ref="OPJ22:OPN22"/>
    <mergeCell ref="OPO22:OPS22"/>
    <mergeCell ref="OPT22:OPX22"/>
    <mergeCell ref="OPY22:OQC22"/>
    <mergeCell ref="OQD22:OQH22"/>
    <mergeCell ref="OQI22:OQM22"/>
    <mergeCell ref="OQN22:OQR22"/>
    <mergeCell ref="OQS22:OQW22"/>
    <mergeCell ref="OQX22:ORB22"/>
    <mergeCell ref="ORC22:ORG22"/>
    <mergeCell ref="ORH22:ORL22"/>
    <mergeCell ref="ORM22:ORQ22"/>
    <mergeCell ref="ORR22:ORV22"/>
    <mergeCell ref="ORW22:OSA22"/>
    <mergeCell ref="OSB22:OSF22"/>
    <mergeCell ref="OSG22:OSK22"/>
    <mergeCell ref="OSL22:OSP22"/>
    <mergeCell ref="OSQ22:OSU22"/>
    <mergeCell ref="OSV22:OSZ22"/>
    <mergeCell ref="OTA22:OTE22"/>
    <mergeCell ref="OTF22:OTJ22"/>
    <mergeCell ref="OTK22:OTO22"/>
    <mergeCell ref="OTP22:OTT22"/>
    <mergeCell ref="OTU22:OTY22"/>
    <mergeCell ref="OTZ22:OUD22"/>
    <mergeCell ref="OUE22:OUI22"/>
    <mergeCell ref="OUJ22:OUN22"/>
    <mergeCell ref="OUO22:OUS22"/>
    <mergeCell ref="OUT22:OUX22"/>
    <mergeCell ref="OUY22:OVC22"/>
    <mergeCell ref="OVD22:OVH22"/>
    <mergeCell ref="OVI22:OVM22"/>
    <mergeCell ref="OVN22:OVR22"/>
    <mergeCell ref="OVS22:OVW22"/>
    <mergeCell ref="OVX22:OWB22"/>
    <mergeCell ref="OWC22:OWG22"/>
    <mergeCell ref="OWH22:OWL22"/>
    <mergeCell ref="OWM22:OWQ22"/>
    <mergeCell ref="OWR22:OWV22"/>
    <mergeCell ref="OWW22:OXA22"/>
    <mergeCell ref="OXB22:OXF22"/>
    <mergeCell ref="OXG22:OXK22"/>
    <mergeCell ref="OXL22:OXP22"/>
    <mergeCell ref="OXQ22:OXU22"/>
    <mergeCell ref="OXV22:OXZ22"/>
    <mergeCell ref="OYA22:OYE22"/>
    <mergeCell ref="OYF22:OYJ22"/>
    <mergeCell ref="OYK22:OYO22"/>
    <mergeCell ref="OYP22:OYT22"/>
    <mergeCell ref="OYU22:OYY22"/>
    <mergeCell ref="OYZ22:OZD22"/>
    <mergeCell ref="OZE22:OZI22"/>
    <mergeCell ref="OZJ22:OZN22"/>
    <mergeCell ref="OZO22:OZS22"/>
    <mergeCell ref="OZT22:OZX22"/>
    <mergeCell ref="OZY22:PAC22"/>
    <mergeCell ref="PAD22:PAH22"/>
    <mergeCell ref="PAI22:PAM22"/>
    <mergeCell ref="PAN22:PAR22"/>
    <mergeCell ref="PAS22:PAW22"/>
    <mergeCell ref="PAX22:PBB22"/>
    <mergeCell ref="PBC22:PBG22"/>
    <mergeCell ref="PBH22:PBL22"/>
    <mergeCell ref="PBM22:PBQ22"/>
    <mergeCell ref="PBR22:PBV22"/>
    <mergeCell ref="PBW22:PCA22"/>
    <mergeCell ref="PCB22:PCF22"/>
    <mergeCell ref="PCG22:PCK22"/>
    <mergeCell ref="PCL22:PCP22"/>
    <mergeCell ref="PCQ22:PCU22"/>
    <mergeCell ref="PCV22:PCZ22"/>
    <mergeCell ref="PDA22:PDE22"/>
    <mergeCell ref="PDF22:PDJ22"/>
    <mergeCell ref="PDK22:PDO22"/>
    <mergeCell ref="PDP22:PDT22"/>
    <mergeCell ref="PDU22:PDY22"/>
    <mergeCell ref="PDZ22:PED22"/>
    <mergeCell ref="PEE22:PEI22"/>
    <mergeCell ref="PEJ22:PEN22"/>
    <mergeCell ref="PEO22:PES22"/>
    <mergeCell ref="PET22:PEX22"/>
    <mergeCell ref="PEY22:PFC22"/>
    <mergeCell ref="PFD22:PFH22"/>
    <mergeCell ref="PFI22:PFM22"/>
    <mergeCell ref="PFN22:PFR22"/>
    <mergeCell ref="PFS22:PFW22"/>
    <mergeCell ref="PFX22:PGB22"/>
    <mergeCell ref="PGC22:PGG22"/>
    <mergeCell ref="PGH22:PGL22"/>
    <mergeCell ref="PGM22:PGQ22"/>
    <mergeCell ref="PGR22:PGV22"/>
    <mergeCell ref="PGW22:PHA22"/>
    <mergeCell ref="PHB22:PHF22"/>
    <mergeCell ref="PHG22:PHK22"/>
    <mergeCell ref="PHL22:PHP22"/>
    <mergeCell ref="PHQ22:PHU22"/>
    <mergeCell ref="PHV22:PHZ22"/>
    <mergeCell ref="PIA22:PIE22"/>
    <mergeCell ref="PIF22:PIJ22"/>
    <mergeCell ref="PIK22:PIO22"/>
    <mergeCell ref="PIP22:PIT22"/>
    <mergeCell ref="PIU22:PIY22"/>
    <mergeCell ref="PIZ22:PJD22"/>
    <mergeCell ref="PJE22:PJI22"/>
    <mergeCell ref="PJJ22:PJN22"/>
    <mergeCell ref="PJO22:PJS22"/>
    <mergeCell ref="PJT22:PJX22"/>
    <mergeCell ref="PJY22:PKC22"/>
    <mergeCell ref="PKD22:PKH22"/>
    <mergeCell ref="PKI22:PKM22"/>
    <mergeCell ref="PKN22:PKR22"/>
    <mergeCell ref="PKS22:PKW22"/>
    <mergeCell ref="PKX22:PLB22"/>
    <mergeCell ref="PLC22:PLG22"/>
    <mergeCell ref="PLH22:PLL22"/>
    <mergeCell ref="PLM22:PLQ22"/>
    <mergeCell ref="PLR22:PLV22"/>
    <mergeCell ref="PLW22:PMA22"/>
    <mergeCell ref="PMB22:PMF22"/>
    <mergeCell ref="PMG22:PMK22"/>
    <mergeCell ref="PML22:PMP22"/>
    <mergeCell ref="PMQ22:PMU22"/>
    <mergeCell ref="PMV22:PMZ22"/>
    <mergeCell ref="PNA22:PNE22"/>
    <mergeCell ref="PNF22:PNJ22"/>
    <mergeCell ref="PNK22:PNO22"/>
    <mergeCell ref="PNP22:PNT22"/>
    <mergeCell ref="PNU22:PNY22"/>
    <mergeCell ref="PNZ22:POD22"/>
    <mergeCell ref="POE22:POI22"/>
    <mergeCell ref="POJ22:PON22"/>
    <mergeCell ref="POO22:POS22"/>
    <mergeCell ref="POT22:POX22"/>
    <mergeCell ref="POY22:PPC22"/>
    <mergeCell ref="PPD22:PPH22"/>
    <mergeCell ref="PPI22:PPM22"/>
    <mergeCell ref="PPN22:PPR22"/>
    <mergeCell ref="PPS22:PPW22"/>
    <mergeCell ref="PPX22:PQB22"/>
    <mergeCell ref="PQC22:PQG22"/>
    <mergeCell ref="PQH22:PQL22"/>
    <mergeCell ref="PQM22:PQQ22"/>
    <mergeCell ref="PQR22:PQV22"/>
    <mergeCell ref="PQW22:PRA22"/>
    <mergeCell ref="PRB22:PRF22"/>
    <mergeCell ref="PRG22:PRK22"/>
    <mergeCell ref="PRL22:PRP22"/>
    <mergeCell ref="PRQ22:PRU22"/>
    <mergeCell ref="PRV22:PRZ22"/>
    <mergeCell ref="PSA22:PSE22"/>
    <mergeCell ref="PSF22:PSJ22"/>
    <mergeCell ref="PSK22:PSO22"/>
    <mergeCell ref="PSP22:PST22"/>
    <mergeCell ref="PSU22:PSY22"/>
    <mergeCell ref="PSZ22:PTD22"/>
    <mergeCell ref="PTE22:PTI22"/>
    <mergeCell ref="PTJ22:PTN22"/>
    <mergeCell ref="PTO22:PTS22"/>
    <mergeCell ref="PTT22:PTX22"/>
    <mergeCell ref="PTY22:PUC22"/>
    <mergeCell ref="PUD22:PUH22"/>
    <mergeCell ref="PUI22:PUM22"/>
    <mergeCell ref="PUN22:PUR22"/>
    <mergeCell ref="PUS22:PUW22"/>
    <mergeCell ref="PUX22:PVB22"/>
    <mergeCell ref="PVC22:PVG22"/>
    <mergeCell ref="PVH22:PVL22"/>
    <mergeCell ref="PVM22:PVQ22"/>
    <mergeCell ref="PVR22:PVV22"/>
    <mergeCell ref="PVW22:PWA22"/>
    <mergeCell ref="PWB22:PWF22"/>
    <mergeCell ref="PWG22:PWK22"/>
    <mergeCell ref="PWL22:PWP22"/>
    <mergeCell ref="PWQ22:PWU22"/>
    <mergeCell ref="PWV22:PWZ22"/>
    <mergeCell ref="PXA22:PXE22"/>
    <mergeCell ref="PXF22:PXJ22"/>
    <mergeCell ref="PXK22:PXO22"/>
    <mergeCell ref="PXP22:PXT22"/>
    <mergeCell ref="PXU22:PXY22"/>
    <mergeCell ref="PXZ22:PYD22"/>
    <mergeCell ref="PYE22:PYI22"/>
    <mergeCell ref="PYJ22:PYN22"/>
    <mergeCell ref="PYO22:PYS22"/>
    <mergeCell ref="PYT22:PYX22"/>
    <mergeCell ref="PYY22:PZC22"/>
    <mergeCell ref="PZD22:PZH22"/>
    <mergeCell ref="PZI22:PZM22"/>
    <mergeCell ref="PZN22:PZR22"/>
    <mergeCell ref="PZS22:PZW22"/>
    <mergeCell ref="PZX22:QAB22"/>
    <mergeCell ref="QAC22:QAG22"/>
    <mergeCell ref="QAH22:QAL22"/>
    <mergeCell ref="QAM22:QAQ22"/>
    <mergeCell ref="QAR22:QAV22"/>
    <mergeCell ref="QAW22:QBA22"/>
    <mergeCell ref="QBB22:QBF22"/>
    <mergeCell ref="QBG22:QBK22"/>
    <mergeCell ref="QBL22:QBP22"/>
    <mergeCell ref="QBQ22:QBU22"/>
    <mergeCell ref="QBV22:QBZ22"/>
    <mergeCell ref="QCA22:QCE22"/>
    <mergeCell ref="QCF22:QCJ22"/>
    <mergeCell ref="QCK22:QCO22"/>
    <mergeCell ref="QCP22:QCT22"/>
    <mergeCell ref="QCU22:QCY22"/>
    <mergeCell ref="QCZ22:QDD22"/>
    <mergeCell ref="QDE22:QDI22"/>
    <mergeCell ref="QDJ22:QDN22"/>
    <mergeCell ref="QDO22:QDS22"/>
    <mergeCell ref="QDT22:QDX22"/>
    <mergeCell ref="QDY22:QEC22"/>
    <mergeCell ref="QED22:QEH22"/>
    <mergeCell ref="QEI22:QEM22"/>
    <mergeCell ref="QEN22:QER22"/>
    <mergeCell ref="QES22:QEW22"/>
    <mergeCell ref="QEX22:QFB22"/>
    <mergeCell ref="QFC22:QFG22"/>
    <mergeCell ref="QFH22:QFL22"/>
    <mergeCell ref="QFM22:QFQ22"/>
    <mergeCell ref="QFR22:QFV22"/>
    <mergeCell ref="QFW22:QGA22"/>
    <mergeCell ref="QGB22:QGF22"/>
    <mergeCell ref="QGG22:QGK22"/>
    <mergeCell ref="QGL22:QGP22"/>
    <mergeCell ref="QGQ22:QGU22"/>
    <mergeCell ref="QGV22:QGZ22"/>
    <mergeCell ref="QHA22:QHE22"/>
    <mergeCell ref="QHF22:QHJ22"/>
    <mergeCell ref="QHK22:QHO22"/>
    <mergeCell ref="QHP22:QHT22"/>
    <mergeCell ref="QHU22:QHY22"/>
    <mergeCell ref="QHZ22:QID22"/>
    <mergeCell ref="QIE22:QII22"/>
    <mergeCell ref="QIJ22:QIN22"/>
    <mergeCell ref="QIO22:QIS22"/>
    <mergeCell ref="QIT22:QIX22"/>
    <mergeCell ref="QIY22:QJC22"/>
    <mergeCell ref="QJD22:QJH22"/>
    <mergeCell ref="QJI22:QJM22"/>
    <mergeCell ref="QJN22:QJR22"/>
    <mergeCell ref="QJS22:QJW22"/>
    <mergeCell ref="QJX22:QKB22"/>
    <mergeCell ref="QKC22:QKG22"/>
    <mergeCell ref="QKH22:QKL22"/>
    <mergeCell ref="QKM22:QKQ22"/>
    <mergeCell ref="QKR22:QKV22"/>
    <mergeCell ref="QKW22:QLA22"/>
    <mergeCell ref="QLB22:QLF22"/>
    <mergeCell ref="QLG22:QLK22"/>
    <mergeCell ref="QLL22:QLP22"/>
    <mergeCell ref="QLQ22:QLU22"/>
    <mergeCell ref="QLV22:QLZ22"/>
    <mergeCell ref="QMA22:QME22"/>
    <mergeCell ref="QMF22:QMJ22"/>
    <mergeCell ref="QMK22:QMO22"/>
    <mergeCell ref="QMP22:QMT22"/>
    <mergeCell ref="QMU22:QMY22"/>
    <mergeCell ref="QMZ22:QND22"/>
    <mergeCell ref="QNE22:QNI22"/>
    <mergeCell ref="QNJ22:QNN22"/>
    <mergeCell ref="QNO22:QNS22"/>
    <mergeCell ref="QNT22:QNX22"/>
    <mergeCell ref="QNY22:QOC22"/>
    <mergeCell ref="QOD22:QOH22"/>
    <mergeCell ref="QOI22:QOM22"/>
    <mergeCell ref="QON22:QOR22"/>
    <mergeCell ref="QOS22:QOW22"/>
    <mergeCell ref="QOX22:QPB22"/>
    <mergeCell ref="QPC22:QPG22"/>
    <mergeCell ref="QPH22:QPL22"/>
    <mergeCell ref="QPM22:QPQ22"/>
    <mergeCell ref="QPR22:QPV22"/>
    <mergeCell ref="QPW22:QQA22"/>
    <mergeCell ref="QQB22:QQF22"/>
    <mergeCell ref="QQG22:QQK22"/>
    <mergeCell ref="QQL22:QQP22"/>
    <mergeCell ref="QQQ22:QQU22"/>
    <mergeCell ref="QQV22:QQZ22"/>
    <mergeCell ref="QRA22:QRE22"/>
    <mergeCell ref="QRF22:QRJ22"/>
    <mergeCell ref="QRK22:QRO22"/>
    <mergeCell ref="QRP22:QRT22"/>
    <mergeCell ref="QRU22:QRY22"/>
    <mergeCell ref="QRZ22:QSD22"/>
    <mergeCell ref="QSE22:QSI22"/>
    <mergeCell ref="QSJ22:QSN22"/>
    <mergeCell ref="QSO22:QSS22"/>
    <mergeCell ref="QST22:QSX22"/>
    <mergeCell ref="QSY22:QTC22"/>
    <mergeCell ref="QTD22:QTH22"/>
    <mergeCell ref="QTI22:QTM22"/>
    <mergeCell ref="QTN22:QTR22"/>
    <mergeCell ref="QTS22:QTW22"/>
    <mergeCell ref="QTX22:QUB22"/>
    <mergeCell ref="QUC22:QUG22"/>
    <mergeCell ref="QUH22:QUL22"/>
    <mergeCell ref="QUM22:QUQ22"/>
    <mergeCell ref="QUR22:QUV22"/>
    <mergeCell ref="QUW22:QVA22"/>
    <mergeCell ref="QVB22:QVF22"/>
    <mergeCell ref="QVG22:QVK22"/>
    <mergeCell ref="QVL22:QVP22"/>
    <mergeCell ref="QVQ22:QVU22"/>
    <mergeCell ref="QVV22:QVZ22"/>
    <mergeCell ref="QWA22:QWE22"/>
    <mergeCell ref="QWF22:QWJ22"/>
    <mergeCell ref="QWK22:QWO22"/>
    <mergeCell ref="QWP22:QWT22"/>
    <mergeCell ref="QWU22:QWY22"/>
    <mergeCell ref="QWZ22:QXD22"/>
    <mergeCell ref="QXE22:QXI22"/>
    <mergeCell ref="QXJ22:QXN22"/>
    <mergeCell ref="QXO22:QXS22"/>
    <mergeCell ref="QXT22:QXX22"/>
    <mergeCell ref="QXY22:QYC22"/>
    <mergeCell ref="QYD22:QYH22"/>
    <mergeCell ref="QYI22:QYM22"/>
    <mergeCell ref="QYN22:QYR22"/>
    <mergeCell ref="QYS22:QYW22"/>
    <mergeCell ref="QYX22:QZB22"/>
    <mergeCell ref="QZC22:QZG22"/>
    <mergeCell ref="QZH22:QZL22"/>
    <mergeCell ref="QZM22:QZQ22"/>
    <mergeCell ref="QZR22:QZV22"/>
    <mergeCell ref="QZW22:RAA22"/>
    <mergeCell ref="RAB22:RAF22"/>
    <mergeCell ref="RAG22:RAK22"/>
    <mergeCell ref="RAL22:RAP22"/>
    <mergeCell ref="RAQ22:RAU22"/>
    <mergeCell ref="RAV22:RAZ22"/>
    <mergeCell ref="RBA22:RBE22"/>
    <mergeCell ref="RBF22:RBJ22"/>
    <mergeCell ref="RBK22:RBO22"/>
    <mergeCell ref="RBP22:RBT22"/>
    <mergeCell ref="RBU22:RBY22"/>
    <mergeCell ref="RBZ22:RCD22"/>
    <mergeCell ref="RCE22:RCI22"/>
    <mergeCell ref="RCJ22:RCN22"/>
    <mergeCell ref="RCO22:RCS22"/>
    <mergeCell ref="RCT22:RCX22"/>
    <mergeCell ref="RCY22:RDC22"/>
    <mergeCell ref="RDD22:RDH22"/>
    <mergeCell ref="RDI22:RDM22"/>
    <mergeCell ref="RDN22:RDR22"/>
    <mergeCell ref="RDS22:RDW22"/>
    <mergeCell ref="RDX22:REB22"/>
    <mergeCell ref="REC22:REG22"/>
    <mergeCell ref="REH22:REL22"/>
    <mergeCell ref="REM22:REQ22"/>
    <mergeCell ref="RER22:REV22"/>
    <mergeCell ref="REW22:RFA22"/>
    <mergeCell ref="RFB22:RFF22"/>
    <mergeCell ref="RFG22:RFK22"/>
    <mergeCell ref="RFL22:RFP22"/>
    <mergeCell ref="RFQ22:RFU22"/>
    <mergeCell ref="RFV22:RFZ22"/>
    <mergeCell ref="RGA22:RGE22"/>
    <mergeCell ref="RGF22:RGJ22"/>
    <mergeCell ref="RGK22:RGO22"/>
    <mergeCell ref="RGP22:RGT22"/>
    <mergeCell ref="RGU22:RGY22"/>
    <mergeCell ref="RGZ22:RHD22"/>
    <mergeCell ref="RHE22:RHI22"/>
    <mergeCell ref="RHJ22:RHN22"/>
    <mergeCell ref="RHO22:RHS22"/>
    <mergeCell ref="RHT22:RHX22"/>
    <mergeCell ref="RHY22:RIC22"/>
    <mergeCell ref="RID22:RIH22"/>
    <mergeCell ref="RII22:RIM22"/>
    <mergeCell ref="RIN22:RIR22"/>
    <mergeCell ref="RIS22:RIW22"/>
    <mergeCell ref="RIX22:RJB22"/>
    <mergeCell ref="RJC22:RJG22"/>
    <mergeCell ref="RJH22:RJL22"/>
    <mergeCell ref="RJM22:RJQ22"/>
    <mergeCell ref="RJR22:RJV22"/>
    <mergeCell ref="RJW22:RKA22"/>
    <mergeCell ref="RKB22:RKF22"/>
    <mergeCell ref="RKG22:RKK22"/>
    <mergeCell ref="RKL22:RKP22"/>
    <mergeCell ref="RKQ22:RKU22"/>
    <mergeCell ref="RKV22:RKZ22"/>
    <mergeCell ref="RLA22:RLE22"/>
    <mergeCell ref="RLF22:RLJ22"/>
    <mergeCell ref="RLK22:RLO22"/>
    <mergeCell ref="RLP22:RLT22"/>
    <mergeCell ref="RLU22:RLY22"/>
    <mergeCell ref="RLZ22:RMD22"/>
    <mergeCell ref="RME22:RMI22"/>
    <mergeCell ref="RMJ22:RMN22"/>
    <mergeCell ref="RMO22:RMS22"/>
    <mergeCell ref="RMT22:RMX22"/>
    <mergeCell ref="RMY22:RNC22"/>
    <mergeCell ref="RND22:RNH22"/>
    <mergeCell ref="RNI22:RNM22"/>
    <mergeCell ref="RNN22:RNR22"/>
    <mergeCell ref="RNS22:RNW22"/>
    <mergeCell ref="RNX22:ROB22"/>
    <mergeCell ref="ROC22:ROG22"/>
    <mergeCell ref="ROH22:ROL22"/>
    <mergeCell ref="ROM22:ROQ22"/>
    <mergeCell ref="ROR22:ROV22"/>
    <mergeCell ref="ROW22:RPA22"/>
    <mergeCell ref="RPB22:RPF22"/>
    <mergeCell ref="RPG22:RPK22"/>
    <mergeCell ref="RPL22:RPP22"/>
    <mergeCell ref="RPQ22:RPU22"/>
    <mergeCell ref="RPV22:RPZ22"/>
    <mergeCell ref="RQA22:RQE22"/>
    <mergeCell ref="RQF22:RQJ22"/>
    <mergeCell ref="RQK22:RQO22"/>
    <mergeCell ref="RQP22:RQT22"/>
    <mergeCell ref="RQU22:RQY22"/>
    <mergeCell ref="RQZ22:RRD22"/>
    <mergeCell ref="RRE22:RRI22"/>
    <mergeCell ref="RRJ22:RRN22"/>
    <mergeCell ref="RRO22:RRS22"/>
    <mergeCell ref="RRT22:RRX22"/>
    <mergeCell ref="RRY22:RSC22"/>
    <mergeCell ref="RSD22:RSH22"/>
    <mergeCell ref="RSI22:RSM22"/>
    <mergeCell ref="RSN22:RSR22"/>
    <mergeCell ref="RSS22:RSW22"/>
    <mergeCell ref="RSX22:RTB22"/>
    <mergeCell ref="RTC22:RTG22"/>
    <mergeCell ref="RTH22:RTL22"/>
    <mergeCell ref="RTM22:RTQ22"/>
    <mergeCell ref="RTR22:RTV22"/>
    <mergeCell ref="RTW22:RUA22"/>
    <mergeCell ref="RUB22:RUF22"/>
    <mergeCell ref="RUG22:RUK22"/>
    <mergeCell ref="RUL22:RUP22"/>
    <mergeCell ref="RUQ22:RUU22"/>
    <mergeCell ref="RUV22:RUZ22"/>
    <mergeCell ref="RVA22:RVE22"/>
    <mergeCell ref="RVF22:RVJ22"/>
    <mergeCell ref="RVK22:RVO22"/>
    <mergeCell ref="RVP22:RVT22"/>
    <mergeCell ref="RVU22:RVY22"/>
    <mergeCell ref="RVZ22:RWD22"/>
    <mergeCell ref="RWE22:RWI22"/>
    <mergeCell ref="RWJ22:RWN22"/>
    <mergeCell ref="RWO22:RWS22"/>
    <mergeCell ref="RWT22:RWX22"/>
    <mergeCell ref="RWY22:RXC22"/>
    <mergeCell ref="RXD22:RXH22"/>
    <mergeCell ref="RXI22:RXM22"/>
    <mergeCell ref="RXN22:RXR22"/>
    <mergeCell ref="RXS22:RXW22"/>
    <mergeCell ref="RXX22:RYB22"/>
    <mergeCell ref="RYC22:RYG22"/>
    <mergeCell ref="RYH22:RYL22"/>
    <mergeCell ref="RYM22:RYQ22"/>
    <mergeCell ref="RYR22:RYV22"/>
    <mergeCell ref="RYW22:RZA22"/>
    <mergeCell ref="RZB22:RZF22"/>
    <mergeCell ref="RZG22:RZK22"/>
    <mergeCell ref="RZL22:RZP22"/>
    <mergeCell ref="RZQ22:RZU22"/>
    <mergeCell ref="RZV22:RZZ22"/>
    <mergeCell ref="SAA22:SAE22"/>
    <mergeCell ref="SAF22:SAJ22"/>
    <mergeCell ref="SAK22:SAO22"/>
    <mergeCell ref="SAP22:SAT22"/>
    <mergeCell ref="SAU22:SAY22"/>
    <mergeCell ref="SAZ22:SBD22"/>
    <mergeCell ref="SBE22:SBI22"/>
    <mergeCell ref="SBJ22:SBN22"/>
    <mergeCell ref="SBO22:SBS22"/>
    <mergeCell ref="SBT22:SBX22"/>
    <mergeCell ref="SBY22:SCC22"/>
    <mergeCell ref="SCD22:SCH22"/>
    <mergeCell ref="SCI22:SCM22"/>
    <mergeCell ref="SCN22:SCR22"/>
    <mergeCell ref="SCS22:SCW22"/>
    <mergeCell ref="SCX22:SDB22"/>
    <mergeCell ref="SDC22:SDG22"/>
    <mergeCell ref="SDH22:SDL22"/>
    <mergeCell ref="SDM22:SDQ22"/>
    <mergeCell ref="SDR22:SDV22"/>
    <mergeCell ref="SDW22:SEA22"/>
    <mergeCell ref="SEB22:SEF22"/>
    <mergeCell ref="SEG22:SEK22"/>
    <mergeCell ref="SEL22:SEP22"/>
    <mergeCell ref="SEQ22:SEU22"/>
    <mergeCell ref="SEV22:SEZ22"/>
    <mergeCell ref="SFA22:SFE22"/>
    <mergeCell ref="SFF22:SFJ22"/>
    <mergeCell ref="SFK22:SFO22"/>
    <mergeCell ref="SFP22:SFT22"/>
    <mergeCell ref="SFU22:SFY22"/>
    <mergeCell ref="SFZ22:SGD22"/>
    <mergeCell ref="SGE22:SGI22"/>
    <mergeCell ref="SGJ22:SGN22"/>
    <mergeCell ref="SGO22:SGS22"/>
    <mergeCell ref="SGT22:SGX22"/>
    <mergeCell ref="SGY22:SHC22"/>
    <mergeCell ref="SHD22:SHH22"/>
    <mergeCell ref="SHI22:SHM22"/>
    <mergeCell ref="SHN22:SHR22"/>
    <mergeCell ref="SHS22:SHW22"/>
    <mergeCell ref="SHX22:SIB22"/>
    <mergeCell ref="SIC22:SIG22"/>
    <mergeCell ref="SIH22:SIL22"/>
    <mergeCell ref="SIM22:SIQ22"/>
    <mergeCell ref="SIR22:SIV22"/>
    <mergeCell ref="SIW22:SJA22"/>
    <mergeCell ref="SJB22:SJF22"/>
    <mergeCell ref="SJG22:SJK22"/>
    <mergeCell ref="SJL22:SJP22"/>
    <mergeCell ref="SJQ22:SJU22"/>
    <mergeCell ref="SJV22:SJZ22"/>
    <mergeCell ref="SKA22:SKE22"/>
    <mergeCell ref="SKF22:SKJ22"/>
    <mergeCell ref="SKK22:SKO22"/>
    <mergeCell ref="SKP22:SKT22"/>
    <mergeCell ref="SKU22:SKY22"/>
    <mergeCell ref="SKZ22:SLD22"/>
    <mergeCell ref="SLE22:SLI22"/>
    <mergeCell ref="SLJ22:SLN22"/>
    <mergeCell ref="SLO22:SLS22"/>
    <mergeCell ref="SLT22:SLX22"/>
    <mergeCell ref="SLY22:SMC22"/>
    <mergeCell ref="SMD22:SMH22"/>
    <mergeCell ref="SMI22:SMM22"/>
    <mergeCell ref="SMN22:SMR22"/>
    <mergeCell ref="SMS22:SMW22"/>
    <mergeCell ref="SMX22:SNB22"/>
    <mergeCell ref="SNC22:SNG22"/>
    <mergeCell ref="SNH22:SNL22"/>
    <mergeCell ref="SNM22:SNQ22"/>
    <mergeCell ref="SNR22:SNV22"/>
    <mergeCell ref="SNW22:SOA22"/>
    <mergeCell ref="SOB22:SOF22"/>
    <mergeCell ref="SOG22:SOK22"/>
    <mergeCell ref="SOL22:SOP22"/>
    <mergeCell ref="SOQ22:SOU22"/>
    <mergeCell ref="SOV22:SOZ22"/>
    <mergeCell ref="SPA22:SPE22"/>
    <mergeCell ref="SPF22:SPJ22"/>
    <mergeCell ref="SPK22:SPO22"/>
    <mergeCell ref="SPP22:SPT22"/>
    <mergeCell ref="SPU22:SPY22"/>
    <mergeCell ref="SPZ22:SQD22"/>
    <mergeCell ref="SQE22:SQI22"/>
    <mergeCell ref="SQJ22:SQN22"/>
    <mergeCell ref="SQO22:SQS22"/>
    <mergeCell ref="SQT22:SQX22"/>
    <mergeCell ref="SQY22:SRC22"/>
    <mergeCell ref="SRD22:SRH22"/>
    <mergeCell ref="SRI22:SRM22"/>
    <mergeCell ref="SRN22:SRR22"/>
    <mergeCell ref="SRS22:SRW22"/>
    <mergeCell ref="SRX22:SSB22"/>
    <mergeCell ref="SSC22:SSG22"/>
    <mergeCell ref="SSH22:SSL22"/>
    <mergeCell ref="SSM22:SSQ22"/>
    <mergeCell ref="SSR22:SSV22"/>
    <mergeCell ref="SSW22:STA22"/>
    <mergeCell ref="STB22:STF22"/>
    <mergeCell ref="STG22:STK22"/>
    <mergeCell ref="STL22:STP22"/>
    <mergeCell ref="STQ22:STU22"/>
    <mergeCell ref="STV22:STZ22"/>
    <mergeCell ref="SUA22:SUE22"/>
    <mergeCell ref="SUF22:SUJ22"/>
    <mergeCell ref="SUK22:SUO22"/>
    <mergeCell ref="SUP22:SUT22"/>
    <mergeCell ref="SUU22:SUY22"/>
    <mergeCell ref="SUZ22:SVD22"/>
    <mergeCell ref="SVE22:SVI22"/>
    <mergeCell ref="SVJ22:SVN22"/>
    <mergeCell ref="SVO22:SVS22"/>
    <mergeCell ref="SVT22:SVX22"/>
    <mergeCell ref="SVY22:SWC22"/>
    <mergeCell ref="SWD22:SWH22"/>
    <mergeCell ref="SWI22:SWM22"/>
    <mergeCell ref="SWN22:SWR22"/>
    <mergeCell ref="SWS22:SWW22"/>
    <mergeCell ref="SWX22:SXB22"/>
    <mergeCell ref="SXC22:SXG22"/>
    <mergeCell ref="SXH22:SXL22"/>
    <mergeCell ref="SXM22:SXQ22"/>
    <mergeCell ref="SXR22:SXV22"/>
    <mergeCell ref="SXW22:SYA22"/>
    <mergeCell ref="SYB22:SYF22"/>
    <mergeCell ref="SYG22:SYK22"/>
    <mergeCell ref="SYL22:SYP22"/>
    <mergeCell ref="SYQ22:SYU22"/>
    <mergeCell ref="SYV22:SYZ22"/>
    <mergeCell ref="SZA22:SZE22"/>
    <mergeCell ref="SZF22:SZJ22"/>
    <mergeCell ref="SZK22:SZO22"/>
    <mergeCell ref="SZP22:SZT22"/>
    <mergeCell ref="SZU22:SZY22"/>
    <mergeCell ref="SZZ22:TAD22"/>
    <mergeCell ref="TAE22:TAI22"/>
    <mergeCell ref="TAJ22:TAN22"/>
    <mergeCell ref="TAO22:TAS22"/>
    <mergeCell ref="TAT22:TAX22"/>
    <mergeCell ref="TAY22:TBC22"/>
    <mergeCell ref="TBD22:TBH22"/>
    <mergeCell ref="TBI22:TBM22"/>
    <mergeCell ref="TBN22:TBR22"/>
    <mergeCell ref="TBS22:TBW22"/>
    <mergeCell ref="TBX22:TCB22"/>
    <mergeCell ref="TCC22:TCG22"/>
    <mergeCell ref="TCH22:TCL22"/>
    <mergeCell ref="TCM22:TCQ22"/>
    <mergeCell ref="TCR22:TCV22"/>
    <mergeCell ref="TCW22:TDA22"/>
    <mergeCell ref="TDB22:TDF22"/>
    <mergeCell ref="TDG22:TDK22"/>
    <mergeCell ref="TDL22:TDP22"/>
    <mergeCell ref="TDQ22:TDU22"/>
    <mergeCell ref="TDV22:TDZ22"/>
    <mergeCell ref="TEA22:TEE22"/>
    <mergeCell ref="TEF22:TEJ22"/>
    <mergeCell ref="TEK22:TEO22"/>
    <mergeCell ref="TEP22:TET22"/>
    <mergeCell ref="TEU22:TEY22"/>
    <mergeCell ref="TEZ22:TFD22"/>
    <mergeCell ref="TFE22:TFI22"/>
    <mergeCell ref="TFJ22:TFN22"/>
    <mergeCell ref="TFO22:TFS22"/>
    <mergeCell ref="TFT22:TFX22"/>
    <mergeCell ref="TFY22:TGC22"/>
    <mergeCell ref="TGD22:TGH22"/>
    <mergeCell ref="TGI22:TGM22"/>
    <mergeCell ref="TGN22:TGR22"/>
    <mergeCell ref="TGS22:TGW22"/>
    <mergeCell ref="TGX22:THB22"/>
    <mergeCell ref="THC22:THG22"/>
    <mergeCell ref="THH22:THL22"/>
    <mergeCell ref="THM22:THQ22"/>
    <mergeCell ref="THR22:THV22"/>
    <mergeCell ref="THW22:TIA22"/>
    <mergeCell ref="TIB22:TIF22"/>
    <mergeCell ref="TIG22:TIK22"/>
    <mergeCell ref="TIL22:TIP22"/>
    <mergeCell ref="TIQ22:TIU22"/>
    <mergeCell ref="TIV22:TIZ22"/>
    <mergeCell ref="TJA22:TJE22"/>
    <mergeCell ref="TJF22:TJJ22"/>
    <mergeCell ref="TJK22:TJO22"/>
    <mergeCell ref="TJP22:TJT22"/>
    <mergeCell ref="TJU22:TJY22"/>
    <mergeCell ref="TJZ22:TKD22"/>
    <mergeCell ref="TKE22:TKI22"/>
    <mergeCell ref="TKJ22:TKN22"/>
    <mergeCell ref="TKO22:TKS22"/>
    <mergeCell ref="TKT22:TKX22"/>
    <mergeCell ref="TKY22:TLC22"/>
    <mergeCell ref="TLD22:TLH22"/>
    <mergeCell ref="TLI22:TLM22"/>
    <mergeCell ref="TLN22:TLR22"/>
    <mergeCell ref="TLS22:TLW22"/>
    <mergeCell ref="TLX22:TMB22"/>
    <mergeCell ref="TMC22:TMG22"/>
    <mergeCell ref="TMH22:TML22"/>
    <mergeCell ref="TMM22:TMQ22"/>
    <mergeCell ref="TMR22:TMV22"/>
    <mergeCell ref="TMW22:TNA22"/>
    <mergeCell ref="TNB22:TNF22"/>
    <mergeCell ref="TNG22:TNK22"/>
    <mergeCell ref="TNL22:TNP22"/>
    <mergeCell ref="TNQ22:TNU22"/>
    <mergeCell ref="TNV22:TNZ22"/>
    <mergeCell ref="TOA22:TOE22"/>
    <mergeCell ref="TOF22:TOJ22"/>
    <mergeCell ref="TOK22:TOO22"/>
    <mergeCell ref="TOP22:TOT22"/>
    <mergeCell ref="TOU22:TOY22"/>
    <mergeCell ref="TOZ22:TPD22"/>
    <mergeCell ref="TPE22:TPI22"/>
    <mergeCell ref="TPJ22:TPN22"/>
    <mergeCell ref="TPO22:TPS22"/>
    <mergeCell ref="TPT22:TPX22"/>
    <mergeCell ref="TPY22:TQC22"/>
    <mergeCell ref="TQD22:TQH22"/>
    <mergeCell ref="TQI22:TQM22"/>
    <mergeCell ref="TQN22:TQR22"/>
    <mergeCell ref="TQS22:TQW22"/>
    <mergeCell ref="TQX22:TRB22"/>
    <mergeCell ref="TRC22:TRG22"/>
    <mergeCell ref="TRH22:TRL22"/>
    <mergeCell ref="TRM22:TRQ22"/>
    <mergeCell ref="TRR22:TRV22"/>
    <mergeCell ref="TRW22:TSA22"/>
    <mergeCell ref="TSB22:TSF22"/>
    <mergeCell ref="TSG22:TSK22"/>
    <mergeCell ref="TSL22:TSP22"/>
    <mergeCell ref="TSQ22:TSU22"/>
    <mergeCell ref="TSV22:TSZ22"/>
    <mergeCell ref="TTA22:TTE22"/>
    <mergeCell ref="TTF22:TTJ22"/>
    <mergeCell ref="TTK22:TTO22"/>
    <mergeCell ref="TTP22:TTT22"/>
    <mergeCell ref="TTU22:TTY22"/>
    <mergeCell ref="TTZ22:TUD22"/>
    <mergeCell ref="TUE22:TUI22"/>
    <mergeCell ref="TUJ22:TUN22"/>
    <mergeCell ref="TUO22:TUS22"/>
    <mergeCell ref="TUT22:TUX22"/>
    <mergeCell ref="TUY22:TVC22"/>
    <mergeCell ref="TVD22:TVH22"/>
    <mergeCell ref="TVI22:TVM22"/>
    <mergeCell ref="TVN22:TVR22"/>
    <mergeCell ref="TVS22:TVW22"/>
    <mergeCell ref="TVX22:TWB22"/>
    <mergeCell ref="TWC22:TWG22"/>
    <mergeCell ref="TWH22:TWL22"/>
    <mergeCell ref="TWM22:TWQ22"/>
    <mergeCell ref="TWR22:TWV22"/>
    <mergeCell ref="TWW22:TXA22"/>
    <mergeCell ref="TXB22:TXF22"/>
    <mergeCell ref="TXG22:TXK22"/>
    <mergeCell ref="TXL22:TXP22"/>
    <mergeCell ref="TXQ22:TXU22"/>
    <mergeCell ref="TXV22:TXZ22"/>
    <mergeCell ref="TYA22:TYE22"/>
    <mergeCell ref="TYF22:TYJ22"/>
    <mergeCell ref="TYK22:TYO22"/>
    <mergeCell ref="TYP22:TYT22"/>
    <mergeCell ref="TYU22:TYY22"/>
    <mergeCell ref="TYZ22:TZD22"/>
    <mergeCell ref="TZE22:TZI22"/>
    <mergeCell ref="TZJ22:TZN22"/>
    <mergeCell ref="TZO22:TZS22"/>
    <mergeCell ref="TZT22:TZX22"/>
    <mergeCell ref="TZY22:UAC22"/>
    <mergeCell ref="UAD22:UAH22"/>
    <mergeCell ref="UAI22:UAM22"/>
    <mergeCell ref="UAN22:UAR22"/>
    <mergeCell ref="UAS22:UAW22"/>
    <mergeCell ref="UAX22:UBB22"/>
    <mergeCell ref="UBC22:UBG22"/>
    <mergeCell ref="UBH22:UBL22"/>
    <mergeCell ref="UBM22:UBQ22"/>
    <mergeCell ref="UBR22:UBV22"/>
    <mergeCell ref="UBW22:UCA22"/>
    <mergeCell ref="UCB22:UCF22"/>
    <mergeCell ref="UCG22:UCK22"/>
    <mergeCell ref="UCL22:UCP22"/>
    <mergeCell ref="UCQ22:UCU22"/>
    <mergeCell ref="UCV22:UCZ22"/>
    <mergeCell ref="UDA22:UDE22"/>
    <mergeCell ref="UDF22:UDJ22"/>
    <mergeCell ref="UDK22:UDO22"/>
    <mergeCell ref="UDP22:UDT22"/>
    <mergeCell ref="UDU22:UDY22"/>
    <mergeCell ref="UDZ22:UED22"/>
    <mergeCell ref="UEE22:UEI22"/>
    <mergeCell ref="UEJ22:UEN22"/>
    <mergeCell ref="UEO22:UES22"/>
    <mergeCell ref="UET22:UEX22"/>
    <mergeCell ref="UEY22:UFC22"/>
    <mergeCell ref="UFD22:UFH22"/>
    <mergeCell ref="UFI22:UFM22"/>
    <mergeCell ref="UFN22:UFR22"/>
    <mergeCell ref="UFS22:UFW22"/>
    <mergeCell ref="UFX22:UGB22"/>
    <mergeCell ref="UGC22:UGG22"/>
    <mergeCell ref="UGH22:UGL22"/>
    <mergeCell ref="UGM22:UGQ22"/>
    <mergeCell ref="UGR22:UGV22"/>
    <mergeCell ref="UGW22:UHA22"/>
    <mergeCell ref="UHB22:UHF22"/>
    <mergeCell ref="UHG22:UHK22"/>
    <mergeCell ref="UHL22:UHP22"/>
    <mergeCell ref="UHQ22:UHU22"/>
    <mergeCell ref="UHV22:UHZ22"/>
    <mergeCell ref="UIA22:UIE22"/>
    <mergeCell ref="UIF22:UIJ22"/>
    <mergeCell ref="UIK22:UIO22"/>
    <mergeCell ref="UIP22:UIT22"/>
    <mergeCell ref="UIU22:UIY22"/>
    <mergeCell ref="UIZ22:UJD22"/>
    <mergeCell ref="UJE22:UJI22"/>
    <mergeCell ref="UJJ22:UJN22"/>
    <mergeCell ref="UJO22:UJS22"/>
    <mergeCell ref="UJT22:UJX22"/>
    <mergeCell ref="UJY22:UKC22"/>
    <mergeCell ref="UKD22:UKH22"/>
    <mergeCell ref="UKI22:UKM22"/>
    <mergeCell ref="UKN22:UKR22"/>
    <mergeCell ref="UKS22:UKW22"/>
    <mergeCell ref="UKX22:ULB22"/>
    <mergeCell ref="ULC22:ULG22"/>
    <mergeCell ref="ULH22:ULL22"/>
    <mergeCell ref="ULM22:ULQ22"/>
    <mergeCell ref="ULR22:ULV22"/>
    <mergeCell ref="ULW22:UMA22"/>
    <mergeCell ref="UMB22:UMF22"/>
    <mergeCell ref="UMG22:UMK22"/>
    <mergeCell ref="UML22:UMP22"/>
    <mergeCell ref="UMQ22:UMU22"/>
    <mergeCell ref="UMV22:UMZ22"/>
    <mergeCell ref="UNA22:UNE22"/>
    <mergeCell ref="UNF22:UNJ22"/>
    <mergeCell ref="UNK22:UNO22"/>
    <mergeCell ref="UNP22:UNT22"/>
    <mergeCell ref="UNU22:UNY22"/>
    <mergeCell ref="UNZ22:UOD22"/>
    <mergeCell ref="UOE22:UOI22"/>
    <mergeCell ref="UOJ22:UON22"/>
    <mergeCell ref="UOO22:UOS22"/>
    <mergeCell ref="UOT22:UOX22"/>
    <mergeCell ref="UOY22:UPC22"/>
    <mergeCell ref="UPD22:UPH22"/>
    <mergeCell ref="UPI22:UPM22"/>
    <mergeCell ref="UPN22:UPR22"/>
    <mergeCell ref="UPS22:UPW22"/>
    <mergeCell ref="UPX22:UQB22"/>
    <mergeCell ref="UQC22:UQG22"/>
    <mergeCell ref="UQH22:UQL22"/>
    <mergeCell ref="UQM22:UQQ22"/>
    <mergeCell ref="UQR22:UQV22"/>
    <mergeCell ref="UQW22:URA22"/>
    <mergeCell ref="URB22:URF22"/>
    <mergeCell ref="URG22:URK22"/>
    <mergeCell ref="URL22:URP22"/>
    <mergeCell ref="URQ22:URU22"/>
    <mergeCell ref="URV22:URZ22"/>
    <mergeCell ref="USA22:USE22"/>
    <mergeCell ref="USF22:USJ22"/>
    <mergeCell ref="USK22:USO22"/>
    <mergeCell ref="USP22:UST22"/>
    <mergeCell ref="USU22:USY22"/>
    <mergeCell ref="USZ22:UTD22"/>
    <mergeCell ref="UTE22:UTI22"/>
    <mergeCell ref="UTJ22:UTN22"/>
    <mergeCell ref="UTO22:UTS22"/>
    <mergeCell ref="UTT22:UTX22"/>
    <mergeCell ref="UTY22:UUC22"/>
    <mergeCell ref="UUD22:UUH22"/>
    <mergeCell ref="UUI22:UUM22"/>
    <mergeCell ref="UUN22:UUR22"/>
    <mergeCell ref="UUS22:UUW22"/>
    <mergeCell ref="UUX22:UVB22"/>
    <mergeCell ref="UVC22:UVG22"/>
    <mergeCell ref="UVH22:UVL22"/>
    <mergeCell ref="UVM22:UVQ22"/>
    <mergeCell ref="UVR22:UVV22"/>
    <mergeCell ref="UVW22:UWA22"/>
    <mergeCell ref="UWB22:UWF22"/>
    <mergeCell ref="UWG22:UWK22"/>
    <mergeCell ref="UWL22:UWP22"/>
    <mergeCell ref="UWQ22:UWU22"/>
    <mergeCell ref="UWV22:UWZ22"/>
    <mergeCell ref="UXA22:UXE22"/>
    <mergeCell ref="UXF22:UXJ22"/>
    <mergeCell ref="UXK22:UXO22"/>
    <mergeCell ref="UXP22:UXT22"/>
    <mergeCell ref="UXU22:UXY22"/>
    <mergeCell ref="UXZ22:UYD22"/>
    <mergeCell ref="UYE22:UYI22"/>
    <mergeCell ref="UYJ22:UYN22"/>
    <mergeCell ref="UYO22:UYS22"/>
    <mergeCell ref="UYT22:UYX22"/>
    <mergeCell ref="UYY22:UZC22"/>
    <mergeCell ref="UZD22:UZH22"/>
    <mergeCell ref="UZI22:UZM22"/>
    <mergeCell ref="UZN22:UZR22"/>
    <mergeCell ref="UZS22:UZW22"/>
    <mergeCell ref="UZX22:VAB22"/>
    <mergeCell ref="VAC22:VAG22"/>
    <mergeCell ref="VAH22:VAL22"/>
    <mergeCell ref="VAM22:VAQ22"/>
    <mergeCell ref="VAR22:VAV22"/>
    <mergeCell ref="VAW22:VBA22"/>
    <mergeCell ref="VBB22:VBF22"/>
    <mergeCell ref="VBG22:VBK22"/>
    <mergeCell ref="VBL22:VBP22"/>
    <mergeCell ref="VBQ22:VBU22"/>
    <mergeCell ref="VBV22:VBZ22"/>
    <mergeCell ref="VCA22:VCE22"/>
    <mergeCell ref="VCF22:VCJ22"/>
    <mergeCell ref="VCK22:VCO22"/>
    <mergeCell ref="VCP22:VCT22"/>
    <mergeCell ref="VCU22:VCY22"/>
    <mergeCell ref="VCZ22:VDD22"/>
    <mergeCell ref="VDE22:VDI22"/>
    <mergeCell ref="VDJ22:VDN22"/>
    <mergeCell ref="VDO22:VDS22"/>
    <mergeCell ref="VDT22:VDX22"/>
    <mergeCell ref="VDY22:VEC22"/>
    <mergeCell ref="VED22:VEH22"/>
    <mergeCell ref="VEI22:VEM22"/>
    <mergeCell ref="VEN22:VER22"/>
    <mergeCell ref="VES22:VEW22"/>
    <mergeCell ref="VEX22:VFB22"/>
    <mergeCell ref="VFC22:VFG22"/>
    <mergeCell ref="VFH22:VFL22"/>
    <mergeCell ref="VFM22:VFQ22"/>
    <mergeCell ref="VFR22:VFV22"/>
    <mergeCell ref="VFW22:VGA22"/>
    <mergeCell ref="VGB22:VGF22"/>
    <mergeCell ref="VGG22:VGK22"/>
    <mergeCell ref="VGL22:VGP22"/>
    <mergeCell ref="VGQ22:VGU22"/>
    <mergeCell ref="VGV22:VGZ22"/>
    <mergeCell ref="VHA22:VHE22"/>
    <mergeCell ref="VHF22:VHJ22"/>
    <mergeCell ref="VHK22:VHO22"/>
    <mergeCell ref="VHP22:VHT22"/>
    <mergeCell ref="VHU22:VHY22"/>
    <mergeCell ref="VHZ22:VID22"/>
    <mergeCell ref="VIE22:VII22"/>
    <mergeCell ref="VIJ22:VIN22"/>
    <mergeCell ref="VIO22:VIS22"/>
    <mergeCell ref="VIT22:VIX22"/>
    <mergeCell ref="VIY22:VJC22"/>
    <mergeCell ref="VJD22:VJH22"/>
    <mergeCell ref="VJI22:VJM22"/>
    <mergeCell ref="VJN22:VJR22"/>
    <mergeCell ref="VJS22:VJW22"/>
    <mergeCell ref="VJX22:VKB22"/>
    <mergeCell ref="VKC22:VKG22"/>
    <mergeCell ref="VKH22:VKL22"/>
    <mergeCell ref="VKM22:VKQ22"/>
    <mergeCell ref="VKR22:VKV22"/>
    <mergeCell ref="VKW22:VLA22"/>
    <mergeCell ref="VLB22:VLF22"/>
    <mergeCell ref="VLG22:VLK22"/>
    <mergeCell ref="VLL22:VLP22"/>
    <mergeCell ref="VLQ22:VLU22"/>
    <mergeCell ref="VLV22:VLZ22"/>
    <mergeCell ref="VMA22:VME22"/>
    <mergeCell ref="VMF22:VMJ22"/>
    <mergeCell ref="VMK22:VMO22"/>
    <mergeCell ref="VMP22:VMT22"/>
    <mergeCell ref="VMU22:VMY22"/>
    <mergeCell ref="VMZ22:VND22"/>
    <mergeCell ref="VNE22:VNI22"/>
    <mergeCell ref="VNJ22:VNN22"/>
    <mergeCell ref="VNO22:VNS22"/>
    <mergeCell ref="VNT22:VNX22"/>
    <mergeCell ref="VNY22:VOC22"/>
    <mergeCell ref="VOD22:VOH22"/>
    <mergeCell ref="VOI22:VOM22"/>
    <mergeCell ref="VON22:VOR22"/>
    <mergeCell ref="VOS22:VOW22"/>
    <mergeCell ref="VOX22:VPB22"/>
    <mergeCell ref="VPC22:VPG22"/>
    <mergeCell ref="VPH22:VPL22"/>
    <mergeCell ref="VPM22:VPQ22"/>
    <mergeCell ref="VPR22:VPV22"/>
    <mergeCell ref="VPW22:VQA22"/>
    <mergeCell ref="VQB22:VQF22"/>
    <mergeCell ref="VQG22:VQK22"/>
    <mergeCell ref="VQL22:VQP22"/>
    <mergeCell ref="VQQ22:VQU22"/>
    <mergeCell ref="VQV22:VQZ22"/>
    <mergeCell ref="VRA22:VRE22"/>
    <mergeCell ref="VRF22:VRJ22"/>
    <mergeCell ref="VRK22:VRO22"/>
    <mergeCell ref="VRP22:VRT22"/>
    <mergeCell ref="VRU22:VRY22"/>
    <mergeCell ref="VRZ22:VSD22"/>
    <mergeCell ref="VSE22:VSI22"/>
    <mergeCell ref="VSJ22:VSN22"/>
    <mergeCell ref="VSO22:VSS22"/>
    <mergeCell ref="VST22:VSX22"/>
    <mergeCell ref="VSY22:VTC22"/>
    <mergeCell ref="VTD22:VTH22"/>
    <mergeCell ref="VTI22:VTM22"/>
    <mergeCell ref="VTN22:VTR22"/>
    <mergeCell ref="VTS22:VTW22"/>
    <mergeCell ref="VTX22:VUB22"/>
    <mergeCell ref="VUC22:VUG22"/>
    <mergeCell ref="VUH22:VUL22"/>
    <mergeCell ref="VUM22:VUQ22"/>
    <mergeCell ref="VUR22:VUV22"/>
    <mergeCell ref="VUW22:VVA22"/>
    <mergeCell ref="VVB22:VVF22"/>
    <mergeCell ref="VVG22:VVK22"/>
    <mergeCell ref="VVL22:VVP22"/>
    <mergeCell ref="VVQ22:VVU22"/>
    <mergeCell ref="VVV22:VVZ22"/>
    <mergeCell ref="VWA22:VWE22"/>
    <mergeCell ref="VWF22:VWJ22"/>
    <mergeCell ref="VWK22:VWO22"/>
    <mergeCell ref="VWP22:VWT22"/>
    <mergeCell ref="VWU22:VWY22"/>
    <mergeCell ref="VWZ22:VXD22"/>
    <mergeCell ref="VXE22:VXI22"/>
    <mergeCell ref="VXJ22:VXN22"/>
    <mergeCell ref="VXO22:VXS22"/>
    <mergeCell ref="VXT22:VXX22"/>
    <mergeCell ref="VXY22:VYC22"/>
    <mergeCell ref="VYD22:VYH22"/>
    <mergeCell ref="VYI22:VYM22"/>
    <mergeCell ref="VYN22:VYR22"/>
    <mergeCell ref="VYS22:VYW22"/>
    <mergeCell ref="VYX22:VZB22"/>
    <mergeCell ref="VZC22:VZG22"/>
    <mergeCell ref="VZH22:VZL22"/>
    <mergeCell ref="VZM22:VZQ22"/>
    <mergeCell ref="VZR22:VZV22"/>
    <mergeCell ref="VZW22:WAA22"/>
    <mergeCell ref="WAB22:WAF22"/>
    <mergeCell ref="WAG22:WAK22"/>
    <mergeCell ref="WAL22:WAP22"/>
    <mergeCell ref="WAQ22:WAU22"/>
    <mergeCell ref="WAV22:WAZ22"/>
    <mergeCell ref="WBA22:WBE22"/>
    <mergeCell ref="WBF22:WBJ22"/>
    <mergeCell ref="WBK22:WBO22"/>
    <mergeCell ref="WBP22:WBT22"/>
    <mergeCell ref="WBU22:WBY22"/>
    <mergeCell ref="WBZ22:WCD22"/>
    <mergeCell ref="WCE22:WCI22"/>
    <mergeCell ref="WCJ22:WCN22"/>
    <mergeCell ref="WCO22:WCS22"/>
    <mergeCell ref="WCT22:WCX22"/>
    <mergeCell ref="WCY22:WDC22"/>
    <mergeCell ref="WDD22:WDH22"/>
    <mergeCell ref="WDI22:WDM22"/>
    <mergeCell ref="WDN22:WDR22"/>
    <mergeCell ref="WDS22:WDW22"/>
    <mergeCell ref="WDX22:WEB22"/>
    <mergeCell ref="WEC22:WEG22"/>
    <mergeCell ref="WEH22:WEL22"/>
    <mergeCell ref="WEM22:WEQ22"/>
    <mergeCell ref="WER22:WEV22"/>
    <mergeCell ref="WEW22:WFA22"/>
    <mergeCell ref="WFB22:WFF22"/>
    <mergeCell ref="WFG22:WFK22"/>
    <mergeCell ref="WFL22:WFP22"/>
    <mergeCell ref="WFQ22:WFU22"/>
    <mergeCell ref="WFV22:WFZ22"/>
    <mergeCell ref="WGA22:WGE22"/>
    <mergeCell ref="WGF22:WGJ22"/>
    <mergeCell ref="WGK22:WGO22"/>
    <mergeCell ref="WGP22:WGT22"/>
    <mergeCell ref="WGU22:WGY22"/>
    <mergeCell ref="WGZ22:WHD22"/>
    <mergeCell ref="WHE22:WHI22"/>
    <mergeCell ref="WHJ22:WHN22"/>
    <mergeCell ref="WHO22:WHS22"/>
    <mergeCell ref="WHT22:WHX22"/>
    <mergeCell ref="WHY22:WIC22"/>
    <mergeCell ref="WID22:WIH22"/>
    <mergeCell ref="WII22:WIM22"/>
    <mergeCell ref="WIN22:WIR22"/>
    <mergeCell ref="WIS22:WIW22"/>
    <mergeCell ref="WIX22:WJB22"/>
    <mergeCell ref="WJC22:WJG22"/>
    <mergeCell ref="WJH22:WJL22"/>
    <mergeCell ref="WJM22:WJQ22"/>
    <mergeCell ref="WJR22:WJV22"/>
    <mergeCell ref="WJW22:WKA22"/>
    <mergeCell ref="WKB22:WKF22"/>
    <mergeCell ref="WKG22:WKK22"/>
    <mergeCell ref="WKL22:WKP22"/>
    <mergeCell ref="WKQ22:WKU22"/>
    <mergeCell ref="WKV22:WKZ22"/>
    <mergeCell ref="WLA22:WLE22"/>
    <mergeCell ref="WLF22:WLJ22"/>
    <mergeCell ref="WLK22:WLO22"/>
    <mergeCell ref="WLP22:WLT22"/>
    <mergeCell ref="WLU22:WLY22"/>
    <mergeCell ref="WLZ22:WMD22"/>
    <mergeCell ref="WME22:WMI22"/>
    <mergeCell ref="WMJ22:WMN22"/>
    <mergeCell ref="WMO22:WMS22"/>
    <mergeCell ref="WMT22:WMX22"/>
    <mergeCell ref="WMY22:WNC22"/>
    <mergeCell ref="WND22:WNH22"/>
    <mergeCell ref="WNI22:WNM22"/>
    <mergeCell ref="WNN22:WNR22"/>
    <mergeCell ref="WNS22:WNW22"/>
    <mergeCell ref="WNX22:WOB22"/>
    <mergeCell ref="WOC22:WOG22"/>
    <mergeCell ref="WOH22:WOL22"/>
    <mergeCell ref="WOM22:WOQ22"/>
    <mergeCell ref="WOR22:WOV22"/>
    <mergeCell ref="WOW22:WPA22"/>
    <mergeCell ref="WPB22:WPF22"/>
    <mergeCell ref="WPG22:WPK22"/>
    <mergeCell ref="WPL22:WPP22"/>
    <mergeCell ref="WPQ22:WPU22"/>
    <mergeCell ref="WPV22:WPZ22"/>
    <mergeCell ref="WQA22:WQE22"/>
    <mergeCell ref="WQF22:WQJ22"/>
    <mergeCell ref="WQK22:WQO22"/>
    <mergeCell ref="WQP22:WQT22"/>
    <mergeCell ref="WQU22:WQY22"/>
    <mergeCell ref="WQZ22:WRD22"/>
    <mergeCell ref="WRE22:WRI22"/>
    <mergeCell ref="WRJ22:WRN22"/>
    <mergeCell ref="WRO22:WRS22"/>
    <mergeCell ref="WRT22:WRX22"/>
    <mergeCell ref="WRY22:WSC22"/>
    <mergeCell ref="WSD22:WSH22"/>
    <mergeCell ref="WSI22:WSM22"/>
    <mergeCell ref="WSN22:WSR22"/>
    <mergeCell ref="WSS22:WSW22"/>
    <mergeCell ref="WSX22:WTB22"/>
    <mergeCell ref="WTC22:WTG22"/>
    <mergeCell ref="WTH22:WTL22"/>
    <mergeCell ref="WTM22:WTQ22"/>
    <mergeCell ref="WTR22:WTV22"/>
    <mergeCell ref="WTW22:WUA22"/>
    <mergeCell ref="WUB22:WUF22"/>
    <mergeCell ref="WUG22:WUK22"/>
    <mergeCell ref="WUL22:WUP22"/>
    <mergeCell ref="WUQ22:WUU22"/>
    <mergeCell ref="WUV22:WUZ22"/>
    <mergeCell ref="WVA22:WVE22"/>
    <mergeCell ref="WVF22:WVJ22"/>
    <mergeCell ref="WVK22:WVO22"/>
    <mergeCell ref="WVP22:WVT22"/>
    <mergeCell ref="WVU22:WVY22"/>
    <mergeCell ref="WVZ22:WWD22"/>
    <mergeCell ref="WWE22:WWI22"/>
    <mergeCell ref="WWJ22:WWN22"/>
    <mergeCell ref="WWO22:WWS22"/>
    <mergeCell ref="WWT22:WWX22"/>
    <mergeCell ref="WWY22:WXC22"/>
    <mergeCell ref="WXD22:WXH22"/>
    <mergeCell ref="WXI22:WXM22"/>
    <mergeCell ref="WXN22:WXR22"/>
    <mergeCell ref="WXS22:WXW22"/>
    <mergeCell ref="WXX22:WYB22"/>
    <mergeCell ref="WYC22:WYG22"/>
    <mergeCell ref="WYH22:WYL22"/>
    <mergeCell ref="WYM22:WYQ22"/>
    <mergeCell ref="WYR22:WYV22"/>
    <mergeCell ref="WYW22:WZA22"/>
    <mergeCell ref="WZB22:WZF22"/>
    <mergeCell ref="WZG22:WZK22"/>
    <mergeCell ref="WZL22:WZP22"/>
    <mergeCell ref="WZQ22:WZU22"/>
    <mergeCell ref="WZV22:WZZ22"/>
    <mergeCell ref="XAA22:XAE22"/>
    <mergeCell ref="XAF22:XAJ22"/>
    <mergeCell ref="XAK22:XAO22"/>
    <mergeCell ref="XAP22:XAT22"/>
    <mergeCell ref="XAU22:XAY22"/>
    <mergeCell ref="XAZ22:XBD22"/>
    <mergeCell ref="XBE22:XBI22"/>
    <mergeCell ref="XBJ22:XBN22"/>
    <mergeCell ref="XBO22:XBS22"/>
    <mergeCell ref="XBT22:XBX22"/>
    <mergeCell ref="XBY22:XCC22"/>
    <mergeCell ref="XCD22:XCH22"/>
    <mergeCell ref="XCI22:XCM22"/>
    <mergeCell ref="XCN22:XCR22"/>
    <mergeCell ref="XCS22:XCW22"/>
    <mergeCell ref="XCX22:XDB22"/>
    <mergeCell ref="XDC22:XDG22"/>
    <mergeCell ref="XDH22:XDL22"/>
    <mergeCell ref="XDM22:XDQ22"/>
    <mergeCell ref="XDR22:XDV22"/>
    <mergeCell ref="XDW22:XEA22"/>
    <mergeCell ref="XEB22:XEF22"/>
    <mergeCell ref="XEG22:XEK22"/>
    <mergeCell ref="XEL22:XEP22"/>
    <mergeCell ref="XEQ22:XEU22"/>
    <mergeCell ref="XEV22:XEZ22"/>
    <mergeCell ref="XFA22:XFD22"/>
    <mergeCell ref="A23:E23"/>
    <mergeCell ref="K23:O23"/>
    <mergeCell ref="P23:T23"/>
    <mergeCell ref="U23:Y23"/>
    <mergeCell ref="Z23:AD23"/>
    <mergeCell ref="AE23:AI23"/>
    <mergeCell ref="AJ23:AN23"/>
    <mergeCell ref="AO23:AS23"/>
    <mergeCell ref="AT23:AX23"/>
    <mergeCell ref="AY23:BC23"/>
    <mergeCell ref="BD23:BH23"/>
    <mergeCell ref="BI23:BM23"/>
    <mergeCell ref="BN23:BR23"/>
    <mergeCell ref="BS23:BW23"/>
    <mergeCell ref="BX23:CB23"/>
    <mergeCell ref="CC23:CG23"/>
    <mergeCell ref="CH23:CL23"/>
    <mergeCell ref="CM23:CQ23"/>
    <mergeCell ref="CR23:CV23"/>
    <mergeCell ref="CW23:DA23"/>
    <mergeCell ref="DB23:DF23"/>
    <mergeCell ref="DG23:DK23"/>
    <mergeCell ref="DL23:DP23"/>
    <mergeCell ref="DQ23:DU23"/>
    <mergeCell ref="DV23:DZ23"/>
    <mergeCell ref="EA23:EE23"/>
    <mergeCell ref="EF23:EJ23"/>
    <mergeCell ref="EK23:EO23"/>
    <mergeCell ref="EP23:ET23"/>
    <mergeCell ref="EU23:EY23"/>
    <mergeCell ref="EZ23:FD23"/>
    <mergeCell ref="FE23:FI23"/>
    <mergeCell ref="FJ23:FN23"/>
    <mergeCell ref="FO23:FS23"/>
    <mergeCell ref="FT23:FX23"/>
    <mergeCell ref="FY23:GC23"/>
    <mergeCell ref="GD23:GH23"/>
    <mergeCell ref="GI23:GM23"/>
    <mergeCell ref="GN23:GR23"/>
    <mergeCell ref="GS23:GW23"/>
    <mergeCell ref="GX23:HB23"/>
    <mergeCell ref="HC23:HG23"/>
    <mergeCell ref="HH23:HL23"/>
    <mergeCell ref="HM23:HQ23"/>
    <mergeCell ref="HR23:HV23"/>
    <mergeCell ref="HW23:IA23"/>
    <mergeCell ref="IB23:IF23"/>
    <mergeCell ref="IG23:IK23"/>
    <mergeCell ref="IL23:IP23"/>
    <mergeCell ref="IQ23:IU23"/>
    <mergeCell ref="IV23:IZ23"/>
    <mergeCell ref="JA23:JE23"/>
    <mergeCell ref="JF23:JJ23"/>
    <mergeCell ref="JK23:JO23"/>
    <mergeCell ref="JP23:JT23"/>
    <mergeCell ref="JU23:JY23"/>
    <mergeCell ref="JZ23:KD23"/>
    <mergeCell ref="KE23:KI23"/>
    <mergeCell ref="KJ23:KN23"/>
    <mergeCell ref="KO23:KS23"/>
    <mergeCell ref="KT23:KX23"/>
    <mergeCell ref="KY23:LC23"/>
    <mergeCell ref="LD23:LH23"/>
    <mergeCell ref="LI23:LM23"/>
    <mergeCell ref="LN23:LR23"/>
    <mergeCell ref="LS23:LW23"/>
    <mergeCell ref="LX23:MB23"/>
    <mergeCell ref="MC23:MG23"/>
    <mergeCell ref="MH23:ML23"/>
    <mergeCell ref="MM23:MQ23"/>
    <mergeCell ref="MR23:MV23"/>
    <mergeCell ref="MW23:NA23"/>
    <mergeCell ref="NB23:NF23"/>
    <mergeCell ref="NG23:NK23"/>
    <mergeCell ref="NL23:NP23"/>
    <mergeCell ref="NQ23:NU23"/>
    <mergeCell ref="NV23:NZ23"/>
    <mergeCell ref="OA23:OE23"/>
    <mergeCell ref="OF23:OJ23"/>
    <mergeCell ref="OK23:OO23"/>
    <mergeCell ref="OP23:OT23"/>
    <mergeCell ref="OU23:OY23"/>
    <mergeCell ref="OZ23:PD23"/>
    <mergeCell ref="PE23:PI23"/>
    <mergeCell ref="PJ23:PN23"/>
    <mergeCell ref="PO23:PS23"/>
    <mergeCell ref="PT23:PX23"/>
    <mergeCell ref="PY23:QC23"/>
    <mergeCell ref="QD23:QH23"/>
    <mergeCell ref="QI23:QM23"/>
    <mergeCell ref="QN23:QR23"/>
    <mergeCell ref="QS23:QW23"/>
    <mergeCell ref="QX23:RB23"/>
    <mergeCell ref="RC23:RG23"/>
    <mergeCell ref="RH23:RL23"/>
    <mergeCell ref="RM23:RQ23"/>
    <mergeCell ref="RR23:RV23"/>
    <mergeCell ref="RW23:SA23"/>
    <mergeCell ref="SB23:SF23"/>
    <mergeCell ref="SG23:SK23"/>
    <mergeCell ref="SL23:SP23"/>
    <mergeCell ref="SQ23:SU23"/>
    <mergeCell ref="SV23:SZ23"/>
    <mergeCell ref="TA23:TE23"/>
    <mergeCell ref="TF23:TJ23"/>
    <mergeCell ref="TK23:TO23"/>
    <mergeCell ref="TP23:TT23"/>
    <mergeCell ref="TU23:TY23"/>
    <mergeCell ref="TZ23:UD23"/>
    <mergeCell ref="UE23:UI23"/>
    <mergeCell ref="UJ23:UN23"/>
    <mergeCell ref="UO23:US23"/>
    <mergeCell ref="UT23:UX23"/>
    <mergeCell ref="UY23:VC23"/>
    <mergeCell ref="VD23:VH23"/>
    <mergeCell ref="VI23:VM23"/>
    <mergeCell ref="VN23:VR23"/>
    <mergeCell ref="VS23:VW23"/>
    <mergeCell ref="VX23:WB23"/>
    <mergeCell ref="WC23:WG23"/>
    <mergeCell ref="WH23:WL23"/>
    <mergeCell ref="WM23:WQ23"/>
    <mergeCell ref="WR23:WV23"/>
    <mergeCell ref="WW23:XA23"/>
    <mergeCell ref="XB23:XF23"/>
    <mergeCell ref="XG23:XK23"/>
    <mergeCell ref="XL23:XP23"/>
    <mergeCell ref="XQ23:XU23"/>
    <mergeCell ref="XV23:XZ23"/>
    <mergeCell ref="YA23:YE23"/>
    <mergeCell ref="YF23:YJ23"/>
    <mergeCell ref="YK23:YO23"/>
    <mergeCell ref="YP23:YT23"/>
    <mergeCell ref="YU23:YY23"/>
    <mergeCell ref="YZ23:ZD23"/>
    <mergeCell ref="ZE23:ZI23"/>
    <mergeCell ref="ZJ23:ZN23"/>
    <mergeCell ref="ZO23:ZS23"/>
    <mergeCell ref="ZT23:ZX23"/>
    <mergeCell ref="ZY23:AAC23"/>
    <mergeCell ref="AAD23:AAH23"/>
    <mergeCell ref="AAI23:AAM23"/>
    <mergeCell ref="AAN23:AAR23"/>
    <mergeCell ref="AAS23:AAW23"/>
    <mergeCell ref="AAX23:ABB23"/>
    <mergeCell ref="ABC23:ABG23"/>
    <mergeCell ref="ABH23:ABL23"/>
    <mergeCell ref="ABM23:ABQ23"/>
    <mergeCell ref="ABR23:ABV23"/>
    <mergeCell ref="ABW23:ACA23"/>
    <mergeCell ref="ACB23:ACF23"/>
    <mergeCell ref="ACG23:ACK23"/>
    <mergeCell ref="ACL23:ACP23"/>
    <mergeCell ref="ACQ23:ACU23"/>
    <mergeCell ref="ACV23:ACZ23"/>
    <mergeCell ref="ADA23:ADE23"/>
    <mergeCell ref="ADF23:ADJ23"/>
    <mergeCell ref="ADK23:ADO23"/>
    <mergeCell ref="ADP23:ADT23"/>
    <mergeCell ref="ADU23:ADY23"/>
    <mergeCell ref="ADZ23:AED23"/>
    <mergeCell ref="AEE23:AEI23"/>
    <mergeCell ref="AEJ23:AEN23"/>
    <mergeCell ref="AEO23:AES23"/>
    <mergeCell ref="AET23:AEX23"/>
    <mergeCell ref="AEY23:AFC23"/>
    <mergeCell ref="AFD23:AFH23"/>
    <mergeCell ref="AFI23:AFM23"/>
    <mergeCell ref="AFN23:AFR23"/>
    <mergeCell ref="AFS23:AFW23"/>
    <mergeCell ref="AFX23:AGB23"/>
    <mergeCell ref="AGC23:AGG23"/>
    <mergeCell ref="AGH23:AGL23"/>
    <mergeCell ref="AGM23:AGQ23"/>
    <mergeCell ref="AGR23:AGV23"/>
    <mergeCell ref="AGW23:AHA23"/>
    <mergeCell ref="AHB23:AHF23"/>
    <mergeCell ref="AHG23:AHK23"/>
    <mergeCell ref="AHL23:AHP23"/>
    <mergeCell ref="AHQ23:AHU23"/>
    <mergeCell ref="AHV23:AHZ23"/>
    <mergeCell ref="AIA23:AIE23"/>
    <mergeCell ref="AIF23:AIJ23"/>
    <mergeCell ref="AIK23:AIO23"/>
    <mergeCell ref="AIP23:AIT23"/>
    <mergeCell ref="AIU23:AIY23"/>
    <mergeCell ref="AIZ23:AJD23"/>
    <mergeCell ref="AJE23:AJI23"/>
    <mergeCell ref="AJJ23:AJN23"/>
    <mergeCell ref="AJO23:AJS23"/>
    <mergeCell ref="AJT23:AJX23"/>
    <mergeCell ref="AJY23:AKC23"/>
    <mergeCell ref="AKD23:AKH23"/>
    <mergeCell ref="AKI23:AKM23"/>
    <mergeCell ref="AKN23:AKR23"/>
    <mergeCell ref="AKS23:AKW23"/>
    <mergeCell ref="AKX23:ALB23"/>
    <mergeCell ref="ALC23:ALG23"/>
    <mergeCell ref="ALH23:ALL23"/>
    <mergeCell ref="ALM23:ALQ23"/>
    <mergeCell ref="ALR23:ALV23"/>
    <mergeCell ref="ALW23:AMA23"/>
    <mergeCell ref="AMB23:AMF23"/>
    <mergeCell ref="AMG23:AMK23"/>
    <mergeCell ref="AML23:AMP23"/>
    <mergeCell ref="AMQ23:AMU23"/>
    <mergeCell ref="AMV23:AMZ23"/>
    <mergeCell ref="ANA23:ANE23"/>
    <mergeCell ref="ANF23:ANJ23"/>
    <mergeCell ref="ANK23:ANO23"/>
    <mergeCell ref="ANP23:ANT23"/>
    <mergeCell ref="ANU23:ANY23"/>
    <mergeCell ref="ANZ23:AOD23"/>
    <mergeCell ref="AOE23:AOI23"/>
    <mergeCell ref="AOJ23:AON23"/>
    <mergeCell ref="AOO23:AOS23"/>
    <mergeCell ref="AOT23:AOX23"/>
    <mergeCell ref="AOY23:APC23"/>
    <mergeCell ref="APD23:APH23"/>
    <mergeCell ref="API23:APM23"/>
    <mergeCell ref="APN23:APR23"/>
    <mergeCell ref="APS23:APW23"/>
    <mergeCell ref="APX23:AQB23"/>
    <mergeCell ref="AQC23:AQG23"/>
    <mergeCell ref="AQH23:AQL23"/>
    <mergeCell ref="AQM23:AQQ23"/>
    <mergeCell ref="AQR23:AQV23"/>
    <mergeCell ref="AQW23:ARA23"/>
    <mergeCell ref="ARB23:ARF23"/>
    <mergeCell ref="ARG23:ARK23"/>
    <mergeCell ref="ARL23:ARP23"/>
    <mergeCell ref="ARQ23:ARU23"/>
    <mergeCell ref="ARV23:ARZ23"/>
    <mergeCell ref="ASA23:ASE23"/>
    <mergeCell ref="ASF23:ASJ23"/>
    <mergeCell ref="ASK23:ASO23"/>
    <mergeCell ref="ASP23:AST23"/>
    <mergeCell ref="ASU23:ASY23"/>
    <mergeCell ref="ASZ23:ATD23"/>
    <mergeCell ref="ATE23:ATI23"/>
    <mergeCell ref="ATJ23:ATN23"/>
    <mergeCell ref="ATO23:ATS23"/>
    <mergeCell ref="ATT23:ATX23"/>
    <mergeCell ref="ATY23:AUC23"/>
    <mergeCell ref="AUD23:AUH23"/>
    <mergeCell ref="AUI23:AUM23"/>
    <mergeCell ref="AUN23:AUR23"/>
    <mergeCell ref="AUS23:AUW23"/>
    <mergeCell ref="AUX23:AVB23"/>
    <mergeCell ref="AVC23:AVG23"/>
    <mergeCell ref="AVH23:AVL23"/>
    <mergeCell ref="AVM23:AVQ23"/>
    <mergeCell ref="AVR23:AVV23"/>
    <mergeCell ref="AVW23:AWA23"/>
    <mergeCell ref="AWB23:AWF23"/>
    <mergeCell ref="AWG23:AWK23"/>
    <mergeCell ref="AWL23:AWP23"/>
    <mergeCell ref="AWQ23:AWU23"/>
    <mergeCell ref="AWV23:AWZ23"/>
    <mergeCell ref="AXA23:AXE23"/>
    <mergeCell ref="AXF23:AXJ23"/>
    <mergeCell ref="AXK23:AXO23"/>
    <mergeCell ref="AXP23:AXT23"/>
    <mergeCell ref="AXU23:AXY23"/>
    <mergeCell ref="AXZ23:AYD23"/>
    <mergeCell ref="AYE23:AYI23"/>
    <mergeCell ref="AYJ23:AYN23"/>
    <mergeCell ref="AYO23:AYS23"/>
    <mergeCell ref="AYT23:AYX23"/>
    <mergeCell ref="AYY23:AZC23"/>
    <mergeCell ref="AZD23:AZH23"/>
    <mergeCell ref="AZI23:AZM23"/>
    <mergeCell ref="AZN23:AZR23"/>
    <mergeCell ref="AZS23:AZW23"/>
    <mergeCell ref="AZX23:BAB23"/>
    <mergeCell ref="BAC23:BAG23"/>
    <mergeCell ref="BAH23:BAL23"/>
    <mergeCell ref="BAM23:BAQ23"/>
    <mergeCell ref="BAR23:BAV23"/>
    <mergeCell ref="BAW23:BBA23"/>
    <mergeCell ref="BBB23:BBF23"/>
    <mergeCell ref="BBG23:BBK23"/>
    <mergeCell ref="BBL23:BBP23"/>
    <mergeCell ref="BBQ23:BBU23"/>
    <mergeCell ref="BBV23:BBZ23"/>
    <mergeCell ref="BCA23:BCE23"/>
    <mergeCell ref="BCF23:BCJ23"/>
    <mergeCell ref="BCK23:BCO23"/>
    <mergeCell ref="BCP23:BCT23"/>
    <mergeCell ref="BCU23:BCY23"/>
    <mergeCell ref="BCZ23:BDD23"/>
    <mergeCell ref="BDE23:BDI23"/>
    <mergeCell ref="BDJ23:BDN23"/>
    <mergeCell ref="BDO23:BDS23"/>
    <mergeCell ref="BDT23:BDX23"/>
    <mergeCell ref="BDY23:BEC23"/>
    <mergeCell ref="BED23:BEH23"/>
    <mergeCell ref="BEI23:BEM23"/>
    <mergeCell ref="BEN23:BER23"/>
    <mergeCell ref="BES23:BEW23"/>
    <mergeCell ref="BEX23:BFB23"/>
    <mergeCell ref="BFC23:BFG23"/>
    <mergeCell ref="BFH23:BFL23"/>
    <mergeCell ref="BFM23:BFQ23"/>
    <mergeCell ref="BFR23:BFV23"/>
    <mergeCell ref="BFW23:BGA23"/>
    <mergeCell ref="BGB23:BGF23"/>
    <mergeCell ref="BGG23:BGK23"/>
    <mergeCell ref="BGL23:BGP23"/>
    <mergeCell ref="BGQ23:BGU23"/>
    <mergeCell ref="BGV23:BGZ23"/>
    <mergeCell ref="BHA23:BHE23"/>
    <mergeCell ref="BHF23:BHJ23"/>
    <mergeCell ref="BHK23:BHO23"/>
    <mergeCell ref="BHP23:BHT23"/>
    <mergeCell ref="BHU23:BHY23"/>
    <mergeCell ref="BHZ23:BID23"/>
    <mergeCell ref="BIE23:BII23"/>
    <mergeCell ref="BIJ23:BIN23"/>
    <mergeCell ref="BIO23:BIS23"/>
    <mergeCell ref="BIT23:BIX23"/>
    <mergeCell ref="BIY23:BJC23"/>
    <mergeCell ref="BJD23:BJH23"/>
    <mergeCell ref="BJI23:BJM23"/>
    <mergeCell ref="BJN23:BJR23"/>
    <mergeCell ref="BJS23:BJW23"/>
    <mergeCell ref="BJX23:BKB23"/>
    <mergeCell ref="BKC23:BKG23"/>
    <mergeCell ref="BKH23:BKL23"/>
    <mergeCell ref="BKM23:BKQ23"/>
    <mergeCell ref="BKR23:BKV23"/>
    <mergeCell ref="BKW23:BLA23"/>
    <mergeCell ref="BLB23:BLF23"/>
    <mergeCell ref="BLG23:BLK23"/>
    <mergeCell ref="BLL23:BLP23"/>
    <mergeCell ref="BLQ23:BLU23"/>
    <mergeCell ref="BLV23:BLZ23"/>
    <mergeCell ref="BMA23:BME23"/>
    <mergeCell ref="BMF23:BMJ23"/>
    <mergeCell ref="BMK23:BMO23"/>
    <mergeCell ref="BMP23:BMT23"/>
    <mergeCell ref="BMU23:BMY23"/>
    <mergeCell ref="BMZ23:BND23"/>
    <mergeCell ref="BNE23:BNI23"/>
    <mergeCell ref="BNJ23:BNN23"/>
    <mergeCell ref="BNO23:BNS23"/>
    <mergeCell ref="BNT23:BNX23"/>
    <mergeCell ref="BNY23:BOC23"/>
    <mergeCell ref="BOD23:BOH23"/>
    <mergeCell ref="BOI23:BOM23"/>
    <mergeCell ref="BON23:BOR23"/>
    <mergeCell ref="BOS23:BOW23"/>
    <mergeCell ref="BOX23:BPB23"/>
    <mergeCell ref="BPC23:BPG23"/>
    <mergeCell ref="BPH23:BPL23"/>
    <mergeCell ref="BPM23:BPQ23"/>
    <mergeCell ref="BPR23:BPV23"/>
    <mergeCell ref="BPW23:BQA23"/>
    <mergeCell ref="BQB23:BQF23"/>
    <mergeCell ref="BQG23:BQK23"/>
    <mergeCell ref="BQL23:BQP23"/>
    <mergeCell ref="BQQ23:BQU23"/>
    <mergeCell ref="BQV23:BQZ23"/>
    <mergeCell ref="BRA23:BRE23"/>
    <mergeCell ref="BRF23:BRJ23"/>
    <mergeCell ref="BRK23:BRO23"/>
    <mergeCell ref="BRP23:BRT23"/>
    <mergeCell ref="BRU23:BRY23"/>
    <mergeCell ref="BRZ23:BSD23"/>
    <mergeCell ref="BSE23:BSI23"/>
    <mergeCell ref="BSJ23:BSN23"/>
    <mergeCell ref="BSO23:BSS23"/>
    <mergeCell ref="BST23:BSX23"/>
    <mergeCell ref="BSY23:BTC23"/>
    <mergeCell ref="BTD23:BTH23"/>
    <mergeCell ref="BTI23:BTM23"/>
    <mergeCell ref="BTN23:BTR23"/>
    <mergeCell ref="BTS23:BTW23"/>
    <mergeCell ref="BTX23:BUB23"/>
    <mergeCell ref="BUC23:BUG23"/>
    <mergeCell ref="BUH23:BUL23"/>
    <mergeCell ref="BUM23:BUQ23"/>
    <mergeCell ref="BUR23:BUV23"/>
    <mergeCell ref="BUW23:BVA23"/>
    <mergeCell ref="BVB23:BVF23"/>
    <mergeCell ref="BVG23:BVK23"/>
    <mergeCell ref="BVL23:BVP23"/>
    <mergeCell ref="BVQ23:BVU23"/>
    <mergeCell ref="BVV23:BVZ23"/>
    <mergeCell ref="BWA23:BWE23"/>
    <mergeCell ref="BWF23:BWJ23"/>
    <mergeCell ref="BWK23:BWO23"/>
    <mergeCell ref="BWP23:BWT23"/>
    <mergeCell ref="BWU23:BWY23"/>
    <mergeCell ref="BWZ23:BXD23"/>
    <mergeCell ref="BXE23:BXI23"/>
    <mergeCell ref="BXJ23:BXN23"/>
    <mergeCell ref="BXO23:BXS23"/>
    <mergeCell ref="BXT23:BXX23"/>
    <mergeCell ref="BXY23:BYC23"/>
    <mergeCell ref="BYD23:BYH23"/>
    <mergeCell ref="BYI23:BYM23"/>
    <mergeCell ref="BYN23:BYR23"/>
    <mergeCell ref="BYS23:BYW23"/>
    <mergeCell ref="BYX23:BZB23"/>
    <mergeCell ref="BZC23:BZG23"/>
    <mergeCell ref="BZH23:BZL23"/>
    <mergeCell ref="BZM23:BZQ23"/>
    <mergeCell ref="BZR23:BZV23"/>
    <mergeCell ref="BZW23:CAA23"/>
    <mergeCell ref="CAB23:CAF23"/>
    <mergeCell ref="CAG23:CAK23"/>
    <mergeCell ref="CAL23:CAP23"/>
    <mergeCell ref="CAQ23:CAU23"/>
    <mergeCell ref="CAV23:CAZ23"/>
    <mergeCell ref="CBA23:CBE23"/>
    <mergeCell ref="CBF23:CBJ23"/>
    <mergeCell ref="CBK23:CBO23"/>
    <mergeCell ref="CBP23:CBT23"/>
    <mergeCell ref="CBU23:CBY23"/>
    <mergeCell ref="CBZ23:CCD23"/>
    <mergeCell ref="CCE23:CCI23"/>
    <mergeCell ref="CCJ23:CCN23"/>
    <mergeCell ref="CCO23:CCS23"/>
    <mergeCell ref="CCT23:CCX23"/>
    <mergeCell ref="CCY23:CDC23"/>
    <mergeCell ref="CDD23:CDH23"/>
    <mergeCell ref="CDI23:CDM23"/>
    <mergeCell ref="CDN23:CDR23"/>
    <mergeCell ref="CDS23:CDW23"/>
    <mergeCell ref="CDX23:CEB23"/>
    <mergeCell ref="CEC23:CEG23"/>
    <mergeCell ref="CEH23:CEL23"/>
    <mergeCell ref="CEM23:CEQ23"/>
    <mergeCell ref="CER23:CEV23"/>
    <mergeCell ref="CEW23:CFA23"/>
    <mergeCell ref="CFB23:CFF23"/>
    <mergeCell ref="CFG23:CFK23"/>
    <mergeCell ref="CFL23:CFP23"/>
    <mergeCell ref="CFQ23:CFU23"/>
    <mergeCell ref="CFV23:CFZ23"/>
    <mergeCell ref="CGA23:CGE23"/>
    <mergeCell ref="CGF23:CGJ23"/>
    <mergeCell ref="CGK23:CGO23"/>
    <mergeCell ref="CGP23:CGT23"/>
    <mergeCell ref="CGU23:CGY23"/>
    <mergeCell ref="CGZ23:CHD23"/>
    <mergeCell ref="CHE23:CHI23"/>
    <mergeCell ref="CHJ23:CHN23"/>
    <mergeCell ref="CHO23:CHS23"/>
    <mergeCell ref="CHT23:CHX23"/>
    <mergeCell ref="CHY23:CIC23"/>
    <mergeCell ref="CID23:CIH23"/>
    <mergeCell ref="CII23:CIM23"/>
    <mergeCell ref="CIN23:CIR23"/>
    <mergeCell ref="CIS23:CIW23"/>
    <mergeCell ref="CIX23:CJB23"/>
    <mergeCell ref="CJC23:CJG23"/>
    <mergeCell ref="CJH23:CJL23"/>
    <mergeCell ref="CJM23:CJQ23"/>
    <mergeCell ref="CJR23:CJV23"/>
    <mergeCell ref="CJW23:CKA23"/>
    <mergeCell ref="CKB23:CKF23"/>
    <mergeCell ref="CKG23:CKK23"/>
    <mergeCell ref="CKL23:CKP23"/>
    <mergeCell ref="CKQ23:CKU23"/>
    <mergeCell ref="CKV23:CKZ23"/>
    <mergeCell ref="CLA23:CLE23"/>
    <mergeCell ref="CLF23:CLJ23"/>
    <mergeCell ref="CLK23:CLO23"/>
    <mergeCell ref="CLP23:CLT23"/>
    <mergeCell ref="CLU23:CLY23"/>
    <mergeCell ref="CLZ23:CMD23"/>
    <mergeCell ref="CME23:CMI23"/>
    <mergeCell ref="CMJ23:CMN23"/>
    <mergeCell ref="CMO23:CMS23"/>
    <mergeCell ref="CMT23:CMX23"/>
    <mergeCell ref="CMY23:CNC23"/>
    <mergeCell ref="CND23:CNH23"/>
    <mergeCell ref="CNI23:CNM23"/>
    <mergeCell ref="CNN23:CNR23"/>
    <mergeCell ref="CNS23:CNW23"/>
    <mergeCell ref="CNX23:COB23"/>
    <mergeCell ref="COC23:COG23"/>
    <mergeCell ref="COH23:COL23"/>
    <mergeCell ref="COM23:COQ23"/>
    <mergeCell ref="COR23:COV23"/>
    <mergeCell ref="COW23:CPA23"/>
    <mergeCell ref="CPB23:CPF23"/>
    <mergeCell ref="CPG23:CPK23"/>
    <mergeCell ref="CPL23:CPP23"/>
    <mergeCell ref="CPQ23:CPU23"/>
    <mergeCell ref="CPV23:CPZ23"/>
    <mergeCell ref="CQA23:CQE23"/>
    <mergeCell ref="CQF23:CQJ23"/>
    <mergeCell ref="CQK23:CQO23"/>
    <mergeCell ref="CQP23:CQT23"/>
    <mergeCell ref="CQU23:CQY23"/>
    <mergeCell ref="CQZ23:CRD23"/>
    <mergeCell ref="CRE23:CRI23"/>
    <mergeCell ref="CRJ23:CRN23"/>
    <mergeCell ref="CRO23:CRS23"/>
    <mergeCell ref="CRT23:CRX23"/>
    <mergeCell ref="CRY23:CSC23"/>
    <mergeCell ref="CSD23:CSH23"/>
    <mergeCell ref="CSI23:CSM23"/>
    <mergeCell ref="CSN23:CSR23"/>
    <mergeCell ref="CSS23:CSW23"/>
    <mergeCell ref="CSX23:CTB23"/>
    <mergeCell ref="CTC23:CTG23"/>
    <mergeCell ref="CTH23:CTL23"/>
    <mergeCell ref="CTM23:CTQ23"/>
    <mergeCell ref="CTR23:CTV23"/>
    <mergeCell ref="CTW23:CUA23"/>
    <mergeCell ref="CUB23:CUF23"/>
    <mergeCell ref="CUG23:CUK23"/>
    <mergeCell ref="CUL23:CUP23"/>
    <mergeCell ref="CUQ23:CUU23"/>
    <mergeCell ref="CUV23:CUZ23"/>
    <mergeCell ref="CVA23:CVE23"/>
    <mergeCell ref="CVF23:CVJ23"/>
    <mergeCell ref="CVK23:CVO23"/>
    <mergeCell ref="CVP23:CVT23"/>
    <mergeCell ref="CVU23:CVY23"/>
    <mergeCell ref="CVZ23:CWD23"/>
    <mergeCell ref="CWE23:CWI23"/>
    <mergeCell ref="CWJ23:CWN23"/>
    <mergeCell ref="CWO23:CWS23"/>
    <mergeCell ref="CWT23:CWX23"/>
    <mergeCell ref="CWY23:CXC23"/>
    <mergeCell ref="CXD23:CXH23"/>
    <mergeCell ref="CXI23:CXM23"/>
    <mergeCell ref="CXN23:CXR23"/>
    <mergeCell ref="CXS23:CXW23"/>
    <mergeCell ref="CXX23:CYB23"/>
    <mergeCell ref="CYC23:CYG23"/>
    <mergeCell ref="CYH23:CYL23"/>
    <mergeCell ref="CYM23:CYQ23"/>
    <mergeCell ref="CYR23:CYV23"/>
    <mergeCell ref="CYW23:CZA23"/>
    <mergeCell ref="CZB23:CZF23"/>
    <mergeCell ref="CZG23:CZK23"/>
    <mergeCell ref="CZL23:CZP23"/>
    <mergeCell ref="CZQ23:CZU23"/>
    <mergeCell ref="CZV23:CZZ23"/>
    <mergeCell ref="DAA23:DAE23"/>
    <mergeCell ref="DAF23:DAJ23"/>
    <mergeCell ref="DAK23:DAO23"/>
    <mergeCell ref="DAP23:DAT23"/>
    <mergeCell ref="DAU23:DAY23"/>
    <mergeCell ref="DAZ23:DBD23"/>
    <mergeCell ref="DBE23:DBI23"/>
    <mergeCell ref="DBJ23:DBN23"/>
    <mergeCell ref="DBO23:DBS23"/>
    <mergeCell ref="DBT23:DBX23"/>
    <mergeCell ref="DBY23:DCC23"/>
    <mergeCell ref="DCD23:DCH23"/>
    <mergeCell ref="DCI23:DCM23"/>
    <mergeCell ref="DCN23:DCR23"/>
    <mergeCell ref="DCS23:DCW23"/>
    <mergeCell ref="DCX23:DDB23"/>
    <mergeCell ref="DDC23:DDG23"/>
    <mergeCell ref="DDH23:DDL23"/>
    <mergeCell ref="DDM23:DDQ23"/>
    <mergeCell ref="DDR23:DDV23"/>
    <mergeCell ref="DDW23:DEA23"/>
    <mergeCell ref="DEB23:DEF23"/>
    <mergeCell ref="DEG23:DEK23"/>
    <mergeCell ref="DEL23:DEP23"/>
    <mergeCell ref="DEQ23:DEU23"/>
    <mergeCell ref="DEV23:DEZ23"/>
    <mergeCell ref="DFA23:DFE23"/>
    <mergeCell ref="DFF23:DFJ23"/>
    <mergeCell ref="DFK23:DFO23"/>
    <mergeCell ref="DFP23:DFT23"/>
    <mergeCell ref="DFU23:DFY23"/>
    <mergeCell ref="DFZ23:DGD23"/>
    <mergeCell ref="DGE23:DGI23"/>
    <mergeCell ref="DGJ23:DGN23"/>
    <mergeCell ref="DGO23:DGS23"/>
    <mergeCell ref="DGT23:DGX23"/>
    <mergeCell ref="DGY23:DHC23"/>
    <mergeCell ref="DHD23:DHH23"/>
    <mergeCell ref="DHI23:DHM23"/>
    <mergeCell ref="DHN23:DHR23"/>
    <mergeCell ref="DHS23:DHW23"/>
    <mergeCell ref="DHX23:DIB23"/>
    <mergeCell ref="DIC23:DIG23"/>
    <mergeCell ref="DIH23:DIL23"/>
    <mergeCell ref="DIM23:DIQ23"/>
    <mergeCell ref="DIR23:DIV23"/>
    <mergeCell ref="DIW23:DJA23"/>
    <mergeCell ref="DJB23:DJF23"/>
    <mergeCell ref="DJG23:DJK23"/>
    <mergeCell ref="DJL23:DJP23"/>
    <mergeCell ref="DJQ23:DJU23"/>
    <mergeCell ref="DJV23:DJZ23"/>
    <mergeCell ref="DKA23:DKE23"/>
    <mergeCell ref="DKF23:DKJ23"/>
    <mergeCell ref="DKK23:DKO23"/>
    <mergeCell ref="DKP23:DKT23"/>
    <mergeCell ref="DKU23:DKY23"/>
    <mergeCell ref="DKZ23:DLD23"/>
    <mergeCell ref="DLE23:DLI23"/>
    <mergeCell ref="DLJ23:DLN23"/>
    <mergeCell ref="DLO23:DLS23"/>
    <mergeCell ref="DLT23:DLX23"/>
    <mergeCell ref="DLY23:DMC23"/>
    <mergeCell ref="DMD23:DMH23"/>
    <mergeCell ref="DMI23:DMM23"/>
    <mergeCell ref="DMN23:DMR23"/>
    <mergeCell ref="DMS23:DMW23"/>
    <mergeCell ref="DMX23:DNB23"/>
    <mergeCell ref="DNC23:DNG23"/>
    <mergeCell ref="DNH23:DNL23"/>
    <mergeCell ref="DNM23:DNQ23"/>
    <mergeCell ref="DNR23:DNV23"/>
    <mergeCell ref="DNW23:DOA23"/>
    <mergeCell ref="DOB23:DOF23"/>
    <mergeCell ref="DOG23:DOK23"/>
    <mergeCell ref="DOL23:DOP23"/>
    <mergeCell ref="DOQ23:DOU23"/>
    <mergeCell ref="DOV23:DOZ23"/>
    <mergeCell ref="DPA23:DPE23"/>
    <mergeCell ref="DPF23:DPJ23"/>
    <mergeCell ref="DPK23:DPO23"/>
    <mergeCell ref="DPP23:DPT23"/>
    <mergeCell ref="DPU23:DPY23"/>
    <mergeCell ref="DPZ23:DQD23"/>
    <mergeCell ref="DQE23:DQI23"/>
    <mergeCell ref="DQJ23:DQN23"/>
    <mergeCell ref="DQO23:DQS23"/>
    <mergeCell ref="DQT23:DQX23"/>
    <mergeCell ref="DQY23:DRC23"/>
    <mergeCell ref="DRD23:DRH23"/>
    <mergeCell ref="DRI23:DRM23"/>
    <mergeCell ref="DRN23:DRR23"/>
    <mergeCell ref="DRS23:DRW23"/>
    <mergeCell ref="DRX23:DSB23"/>
    <mergeCell ref="DSC23:DSG23"/>
    <mergeCell ref="DSH23:DSL23"/>
    <mergeCell ref="DSM23:DSQ23"/>
    <mergeCell ref="DSR23:DSV23"/>
    <mergeCell ref="DSW23:DTA23"/>
    <mergeCell ref="DTB23:DTF23"/>
    <mergeCell ref="DTG23:DTK23"/>
    <mergeCell ref="DTL23:DTP23"/>
    <mergeCell ref="DTQ23:DTU23"/>
    <mergeCell ref="DTV23:DTZ23"/>
    <mergeCell ref="DUA23:DUE23"/>
    <mergeCell ref="DUF23:DUJ23"/>
    <mergeCell ref="DUK23:DUO23"/>
    <mergeCell ref="DUP23:DUT23"/>
    <mergeCell ref="DUU23:DUY23"/>
    <mergeCell ref="DUZ23:DVD23"/>
    <mergeCell ref="DVE23:DVI23"/>
    <mergeCell ref="DVJ23:DVN23"/>
    <mergeCell ref="DVO23:DVS23"/>
    <mergeCell ref="DVT23:DVX23"/>
    <mergeCell ref="DVY23:DWC23"/>
    <mergeCell ref="DWD23:DWH23"/>
    <mergeCell ref="DWI23:DWM23"/>
    <mergeCell ref="DWN23:DWR23"/>
    <mergeCell ref="DWS23:DWW23"/>
    <mergeCell ref="DWX23:DXB23"/>
    <mergeCell ref="DXC23:DXG23"/>
    <mergeCell ref="DXH23:DXL23"/>
    <mergeCell ref="DXM23:DXQ23"/>
    <mergeCell ref="DXR23:DXV23"/>
    <mergeCell ref="DXW23:DYA23"/>
    <mergeCell ref="DYB23:DYF23"/>
    <mergeCell ref="DYG23:DYK23"/>
    <mergeCell ref="DYL23:DYP23"/>
    <mergeCell ref="DYQ23:DYU23"/>
    <mergeCell ref="DYV23:DYZ23"/>
    <mergeCell ref="DZA23:DZE23"/>
    <mergeCell ref="DZF23:DZJ23"/>
    <mergeCell ref="DZK23:DZO23"/>
    <mergeCell ref="DZP23:DZT23"/>
    <mergeCell ref="DZU23:DZY23"/>
    <mergeCell ref="DZZ23:EAD23"/>
    <mergeCell ref="EAE23:EAI23"/>
    <mergeCell ref="EAJ23:EAN23"/>
    <mergeCell ref="EAO23:EAS23"/>
    <mergeCell ref="EAT23:EAX23"/>
    <mergeCell ref="EAY23:EBC23"/>
    <mergeCell ref="EBD23:EBH23"/>
    <mergeCell ref="EBI23:EBM23"/>
    <mergeCell ref="EBN23:EBR23"/>
    <mergeCell ref="EBS23:EBW23"/>
    <mergeCell ref="EBX23:ECB23"/>
    <mergeCell ref="ECC23:ECG23"/>
    <mergeCell ref="ECH23:ECL23"/>
    <mergeCell ref="ECM23:ECQ23"/>
    <mergeCell ref="ECR23:ECV23"/>
    <mergeCell ref="ECW23:EDA23"/>
    <mergeCell ref="EDB23:EDF23"/>
    <mergeCell ref="EDG23:EDK23"/>
    <mergeCell ref="EDL23:EDP23"/>
    <mergeCell ref="EDQ23:EDU23"/>
    <mergeCell ref="EDV23:EDZ23"/>
    <mergeCell ref="EEA23:EEE23"/>
    <mergeCell ref="EEF23:EEJ23"/>
    <mergeCell ref="EEK23:EEO23"/>
    <mergeCell ref="EEP23:EET23"/>
    <mergeCell ref="EEU23:EEY23"/>
    <mergeCell ref="EEZ23:EFD23"/>
    <mergeCell ref="EFE23:EFI23"/>
    <mergeCell ref="EFJ23:EFN23"/>
    <mergeCell ref="EFO23:EFS23"/>
    <mergeCell ref="EFT23:EFX23"/>
    <mergeCell ref="EFY23:EGC23"/>
    <mergeCell ref="EGD23:EGH23"/>
    <mergeCell ref="EGI23:EGM23"/>
    <mergeCell ref="EGN23:EGR23"/>
    <mergeCell ref="EGS23:EGW23"/>
    <mergeCell ref="EGX23:EHB23"/>
    <mergeCell ref="EHC23:EHG23"/>
    <mergeCell ref="EHH23:EHL23"/>
    <mergeCell ref="EHM23:EHQ23"/>
    <mergeCell ref="EHR23:EHV23"/>
    <mergeCell ref="EHW23:EIA23"/>
    <mergeCell ref="EIB23:EIF23"/>
    <mergeCell ref="EIG23:EIK23"/>
    <mergeCell ref="EIL23:EIP23"/>
    <mergeCell ref="EIQ23:EIU23"/>
    <mergeCell ref="EIV23:EIZ23"/>
    <mergeCell ref="EJA23:EJE23"/>
    <mergeCell ref="EJF23:EJJ23"/>
    <mergeCell ref="EJK23:EJO23"/>
    <mergeCell ref="EJP23:EJT23"/>
    <mergeCell ref="EJU23:EJY23"/>
    <mergeCell ref="EJZ23:EKD23"/>
    <mergeCell ref="EKE23:EKI23"/>
    <mergeCell ref="EKJ23:EKN23"/>
    <mergeCell ref="EKO23:EKS23"/>
    <mergeCell ref="EKT23:EKX23"/>
    <mergeCell ref="EKY23:ELC23"/>
    <mergeCell ref="ELD23:ELH23"/>
    <mergeCell ref="ELI23:ELM23"/>
    <mergeCell ref="ELN23:ELR23"/>
    <mergeCell ref="ELS23:ELW23"/>
    <mergeCell ref="ELX23:EMB23"/>
    <mergeCell ref="EMC23:EMG23"/>
    <mergeCell ref="EMH23:EML23"/>
    <mergeCell ref="EMM23:EMQ23"/>
    <mergeCell ref="EMR23:EMV23"/>
    <mergeCell ref="EMW23:ENA23"/>
    <mergeCell ref="ENB23:ENF23"/>
    <mergeCell ref="ENG23:ENK23"/>
    <mergeCell ref="ENL23:ENP23"/>
    <mergeCell ref="ENQ23:ENU23"/>
    <mergeCell ref="ENV23:ENZ23"/>
    <mergeCell ref="EOA23:EOE23"/>
    <mergeCell ref="EOF23:EOJ23"/>
    <mergeCell ref="EOK23:EOO23"/>
    <mergeCell ref="EOP23:EOT23"/>
    <mergeCell ref="EOU23:EOY23"/>
    <mergeCell ref="EOZ23:EPD23"/>
    <mergeCell ref="EPE23:EPI23"/>
    <mergeCell ref="EPJ23:EPN23"/>
    <mergeCell ref="EPO23:EPS23"/>
    <mergeCell ref="EPT23:EPX23"/>
    <mergeCell ref="EPY23:EQC23"/>
    <mergeCell ref="EQD23:EQH23"/>
    <mergeCell ref="EQI23:EQM23"/>
    <mergeCell ref="EQN23:EQR23"/>
    <mergeCell ref="EQS23:EQW23"/>
    <mergeCell ref="EQX23:ERB23"/>
    <mergeCell ref="ERC23:ERG23"/>
    <mergeCell ref="ERH23:ERL23"/>
    <mergeCell ref="ERM23:ERQ23"/>
    <mergeCell ref="ERR23:ERV23"/>
    <mergeCell ref="ERW23:ESA23"/>
    <mergeCell ref="ESB23:ESF23"/>
    <mergeCell ref="ESG23:ESK23"/>
    <mergeCell ref="ESL23:ESP23"/>
    <mergeCell ref="ESQ23:ESU23"/>
    <mergeCell ref="ESV23:ESZ23"/>
    <mergeCell ref="ETA23:ETE23"/>
    <mergeCell ref="ETF23:ETJ23"/>
    <mergeCell ref="ETK23:ETO23"/>
    <mergeCell ref="ETP23:ETT23"/>
    <mergeCell ref="ETU23:ETY23"/>
    <mergeCell ref="ETZ23:EUD23"/>
    <mergeCell ref="EUE23:EUI23"/>
    <mergeCell ref="EUJ23:EUN23"/>
    <mergeCell ref="EUO23:EUS23"/>
    <mergeCell ref="EUT23:EUX23"/>
    <mergeCell ref="EUY23:EVC23"/>
    <mergeCell ref="EVD23:EVH23"/>
    <mergeCell ref="EVI23:EVM23"/>
    <mergeCell ref="EVN23:EVR23"/>
    <mergeCell ref="EVS23:EVW23"/>
    <mergeCell ref="EVX23:EWB23"/>
    <mergeCell ref="EWC23:EWG23"/>
    <mergeCell ref="EWH23:EWL23"/>
    <mergeCell ref="EWM23:EWQ23"/>
    <mergeCell ref="EWR23:EWV23"/>
    <mergeCell ref="EWW23:EXA23"/>
    <mergeCell ref="EXB23:EXF23"/>
    <mergeCell ref="EXG23:EXK23"/>
    <mergeCell ref="EXL23:EXP23"/>
    <mergeCell ref="EXQ23:EXU23"/>
    <mergeCell ref="EXV23:EXZ23"/>
    <mergeCell ref="EYA23:EYE23"/>
    <mergeCell ref="EYF23:EYJ23"/>
    <mergeCell ref="EYK23:EYO23"/>
    <mergeCell ref="EYP23:EYT23"/>
    <mergeCell ref="EYU23:EYY23"/>
    <mergeCell ref="EYZ23:EZD23"/>
    <mergeCell ref="EZE23:EZI23"/>
    <mergeCell ref="EZJ23:EZN23"/>
    <mergeCell ref="EZO23:EZS23"/>
    <mergeCell ref="EZT23:EZX23"/>
    <mergeCell ref="EZY23:FAC23"/>
    <mergeCell ref="FAD23:FAH23"/>
    <mergeCell ref="FAI23:FAM23"/>
    <mergeCell ref="FAN23:FAR23"/>
    <mergeCell ref="FAS23:FAW23"/>
    <mergeCell ref="FAX23:FBB23"/>
    <mergeCell ref="FBC23:FBG23"/>
    <mergeCell ref="FBH23:FBL23"/>
    <mergeCell ref="FBM23:FBQ23"/>
    <mergeCell ref="FBR23:FBV23"/>
    <mergeCell ref="FBW23:FCA23"/>
    <mergeCell ref="FCB23:FCF23"/>
    <mergeCell ref="FCG23:FCK23"/>
    <mergeCell ref="FCL23:FCP23"/>
    <mergeCell ref="FCQ23:FCU23"/>
    <mergeCell ref="FCV23:FCZ23"/>
    <mergeCell ref="FDA23:FDE23"/>
    <mergeCell ref="FDF23:FDJ23"/>
    <mergeCell ref="FDK23:FDO23"/>
    <mergeCell ref="FDP23:FDT23"/>
    <mergeCell ref="FDU23:FDY23"/>
    <mergeCell ref="FDZ23:FED23"/>
    <mergeCell ref="FEE23:FEI23"/>
    <mergeCell ref="FEJ23:FEN23"/>
    <mergeCell ref="FEO23:FES23"/>
    <mergeCell ref="FET23:FEX23"/>
    <mergeCell ref="FEY23:FFC23"/>
    <mergeCell ref="FFD23:FFH23"/>
    <mergeCell ref="FFI23:FFM23"/>
    <mergeCell ref="FFN23:FFR23"/>
    <mergeCell ref="FFS23:FFW23"/>
    <mergeCell ref="FFX23:FGB23"/>
    <mergeCell ref="FGC23:FGG23"/>
    <mergeCell ref="FGH23:FGL23"/>
    <mergeCell ref="FGM23:FGQ23"/>
    <mergeCell ref="FGR23:FGV23"/>
    <mergeCell ref="FGW23:FHA23"/>
    <mergeCell ref="FHB23:FHF23"/>
    <mergeCell ref="FHG23:FHK23"/>
    <mergeCell ref="FHL23:FHP23"/>
    <mergeCell ref="FHQ23:FHU23"/>
    <mergeCell ref="FHV23:FHZ23"/>
    <mergeCell ref="FIA23:FIE23"/>
    <mergeCell ref="FIF23:FIJ23"/>
    <mergeCell ref="FIK23:FIO23"/>
    <mergeCell ref="FIP23:FIT23"/>
    <mergeCell ref="FIU23:FIY23"/>
    <mergeCell ref="FIZ23:FJD23"/>
    <mergeCell ref="FJE23:FJI23"/>
    <mergeCell ref="FJJ23:FJN23"/>
    <mergeCell ref="FJO23:FJS23"/>
    <mergeCell ref="FJT23:FJX23"/>
    <mergeCell ref="FJY23:FKC23"/>
    <mergeCell ref="FKD23:FKH23"/>
    <mergeCell ref="FKI23:FKM23"/>
    <mergeCell ref="FKN23:FKR23"/>
    <mergeCell ref="FKS23:FKW23"/>
    <mergeCell ref="FKX23:FLB23"/>
    <mergeCell ref="FLC23:FLG23"/>
    <mergeCell ref="FLH23:FLL23"/>
    <mergeCell ref="FLM23:FLQ23"/>
    <mergeCell ref="FLR23:FLV23"/>
    <mergeCell ref="FLW23:FMA23"/>
    <mergeCell ref="FMB23:FMF23"/>
    <mergeCell ref="FMG23:FMK23"/>
    <mergeCell ref="FML23:FMP23"/>
    <mergeCell ref="FMQ23:FMU23"/>
    <mergeCell ref="FMV23:FMZ23"/>
    <mergeCell ref="FNA23:FNE23"/>
    <mergeCell ref="FNF23:FNJ23"/>
    <mergeCell ref="FNK23:FNO23"/>
    <mergeCell ref="FNP23:FNT23"/>
    <mergeCell ref="FNU23:FNY23"/>
    <mergeCell ref="FNZ23:FOD23"/>
    <mergeCell ref="FOE23:FOI23"/>
    <mergeCell ref="FOJ23:FON23"/>
    <mergeCell ref="FOO23:FOS23"/>
    <mergeCell ref="FOT23:FOX23"/>
    <mergeCell ref="FOY23:FPC23"/>
    <mergeCell ref="FPD23:FPH23"/>
    <mergeCell ref="FPI23:FPM23"/>
    <mergeCell ref="FPN23:FPR23"/>
    <mergeCell ref="FPS23:FPW23"/>
    <mergeCell ref="FPX23:FQB23"/>
    <mergeCell ref="FQC23:FQG23"/>
    <mergeCell ref="FQH23:FQL23"/>
    <mergeCell ref="FQM23:FQQ23"/>
    <mergeCell ref="FQR23:FQV23"/>
    <mergeCell ref="FQW23:FRA23"/>
    <mergeCell ref="FRB23:FRF23"/>
    <mergeCell ref="FRG23:FRK23"/>
    <mergeCell ref="FRL23:FRP23"/>
    <mergeCell ref="FRQ23:FRU23"/>
    <mergeCell ref="FRV23:FRZ23"/>
    <mergeCell ref="FSA23:FSE23"/>
    <mergeCell ref="FSF23:FSJ23"/>
    <mergeCell ref="FSK23:FSO23"/>
    <mergeCell ref="FSP23:FST23"/>
    <mergeCell ref="FSU23:FSY23"/>
    <mergeCell ref="FSZ23:FTD23"/>
    <mergeCell ref="FTE23:FTI23"/>
    <mergeCell ref="FTJ23:FTN23"/>
    <mergeCell ref="FTO23:FTS23"/>
    <mergeCell ref="FTT23:FTX23"/>
    <mergeCell ref="FTY23:FUC23"/>
    <mergeCell ref="FUD23:FUH23"/>
    <mergeCell ref="FUI23:FUM23"/>
    <mergeCell ref="FUN23:FUR23"/>
    <mergeCell ref="FUS23:FUW23"/>
    <mergeCell ref="FUX23:FVB23"/>
    <mergeCell ref="FVC23:FVG23"/>
    <mergeCell ref="FVH23:FVL23"/>
    <mergeCell ref="FVM23:FVQ23"/>
    <mergeCell ref="FVR23:FVV23"/>
    <mergeCell ref="FVW23:FWA23"/>
    <mergeCell ref="FWB23:FWF23"/>
    <mergeCell ref="FWG23:FWK23"/>
    <mergeCell ref="FWL23:FWP23"/>
    <mergeCell ref="FWQ23:FWU23"/>
    <mergeCell ref="FWV23:FWZ23"/>
    <mergeCell ref="FXA23:FXE23"/>
    <mergeCell ref="FXF23:FXJ23"/>
    <mergeCell ref="FXK23:FXO23"/>
    <mergeCell ref="FXP23:FXT23"/>
    <mergeCell ref="FXU23:FXY23"/>
    <mergeCell ref="FXZ23:FYD23"/>
    <mergeCell ref="FYE23:FYI23"/>
    <mergeCell ref="FYJ23:FYN23"/>
    <mergeCell ref="FYO23:FYS23"/>
    <mergeCell ref="FYT23:FYX23"/>
    <mergeCell ref="FYY23:FZC23"/>
    <mergeCell ref="FZD23:FZH23"/>
    <mergeCell ref="FZI23:FZM23"/>
    <mergeCell ref="FZN23:FZR23"/>
    <mergeCell ref="FZS23:FZW23"/>
    <mergeCell ref="FZX23:GAB23"/>
    <mergeCell ref="GAC23:GAG23"/>
    <mergeCell ref="GAH23:GAL23"/>
    <mergeCell ref="GAM23:GAQ23"/>
    <mergeCell ref="GAR23:GAV23"/>
    <mergeCell ref="GAW23:GBA23"/>
    <mergeCell ref="GBB23:GBF23"/>
    <mergeCell ref="GBG23:GBK23"/>
    <mergeCell ref="GBL23:GBP23"/>
    <mergeCell ref="GBQ23:GBU23"/>
    <mergeCell ref="GBV23:GBZ23"/>
    <mergeCell ref="GCA23:GCE23"/>
    <mergeCell ref="GCF23:GCJ23"/>
    <mergeCell ref="GCK23:GCO23"/>
    <mergeCell ref="GCP23:GCT23"/>
    <mergeCell ref="GCU23:GCY23"/>
    <mergeCell ref="GCZ23:GDD23"/>
    <mergeCell ref="GDE23:GDI23"/>
    <mergeCell ref="GDJ23:GDN23"/>
    <mergeCell ref="GDO23:GDS23"/>
    <mergeCell ref="GDT23:GDX23"/>
    <mergeCell ref="GDY23:GEC23"/>
    <mergeCell ref="GED23:GEH23"/>
    <mergeCell ref="GEI23:GEM23"/>
    <mergeCell ref="GEN23:GER23"/>
    <mergeCell ref="GES23:GEW23"/>
    <mergeCell ref="GEX23:GFB23"/>
    <mergeCell ref="GFC23:GFG23"/>
    <mergeCell ref="GFH23:GFL23"/>
    <mergeCell ref="GFM23:GFQ23"/>
    <mergeCell ref="GFR23:GFV23"/>
    <mergeCell ref="GFW23:GGA23"/>
    <mergeCell ref="GGB23:GGF23"/>
    <mergeCell ref="GGG23:GGK23"/>
    <mergeCell ref="GGL23:GGP23"/>
    <mergeCell ref="GGQ23:GGU23"/>
    <mergeCell ref="GGV23:GGZ23"/>
    <mergeCell ref="GHA23:GHE23"/>
    <mergeCell ref="GHF23:GHJ23"/>
    <mergeCell ref="GHK23:GHO23"/>
    <mergeCell ref="GHP23:GHT23"/>
    <mergeCell ref="GHU23:GHY23"/>
    <mergeCell ref="GHZ23:GID23"/>
    <mergeCell ref="GIE23:GII23"/>
    <mergeCell ref="GIJ23:GIN23"/>
    <mergeCell ref="GIO23:GIS23"/>
    <mergeCell ref="GIT23:GIX23"/>
    <mergeCell ref="GIY23:GJC23"/>
    <mergeCell ref="GJD23:GJH23"/>
    <mergeCell ref="GJI23:GJM23"/>
    <mergeCell ref="GJN23:GJR23"/>
    <mergeCell ref="GJS23:GJW23"/>
    <mergeCell ref="GJX23:GKB23"/>
    <mergeCell ref="GKC23:GKG23"/>
    <mergeCell ref="GKH23:GKL23"/>
    <mergeCell ref="GKM23:GKQ23"/>
    <mergeCell ref="GKR23:GKV23"/>
    <mergeCell ref="GKW23:GLA23"/>
    <mergeCell ref="GLB23:GLF23"/>
    <mergeCell ref="GLG23:GLK23"/>
    <mergeCell ref="GLL23:GLP23"/>
    <mergeCell ref="GLQ23:GLU23"/>
    <mergeCell ref="GLV23:GLZ23"/>
    <mergeCell ref="GMA23:GME23"/>
    <mergeCell ref="GMF23:GMJ23"/>
    <mergeCell ref="GMK23:GMO23"/>
    <mergeCell ref="GMP23:GMT23"/>
    <mergeCell ref="GMU23:GMY23"/>
    <mergeCell ref="GMZ23:GND23"/>
    <mergeCell ref="GNE23:GNI23"/>
    <mergeCell ref="GNJ23:GNN23"/>
    <mergeCell ref="GNO23:GNS23"/>
    <mergeCell ref="GNT23:GNX23"/>
    <mergeCell ref="GNY23:GOC23"/>
    <mergeCell ref="GOD23:GOH23"/>
    <mergeCell ref="GOI23:GOM23"/>
    <mergeCell ref="GON23:GOR23"/>
    <mergeCell ref="GOS23:GOW23"/>
    <mergeCell ref="GOX23:GPB23"/>
    <mergeCell ref="GPC23:GPG23"/>
    <mergeCell ref="GPH23:GPL23"/>
    <mergeCell ref="GPM23:GPQ23"/>
    <mergeCell ref="GPR23:GPV23"/>
    <mergeCell ref="GPW23:GQA23"/>
    <mergeCell ref="GQB23:GQF23"/>
    <mergeCell ref="GQG23:GQK23"/>
    <mergeCell ref="GQL23:GQP23"/>
    <mergeCell ref="GQQ23:GQU23"/>
    <mergeCell ref="GQV23:GQZ23"/>
    <mergeCell ref="GRA23:GRE23"/>
    <mergeCell ref="GRF23:GRJ23"/>
    <mergeCell ref="GRK23:GRO23"/>
    <mergeCell ref="GRP23:GRT23"/>
    <mergeCell ref="GRU23:GRY23"/>
    <mergeCell ref="GRZ23:GSD23"/>
    <mergeCell ref="GSE23:GSI23"/>
    <mergeCell ref="GSJ23:GSN23"/>
    <mergeCell ref="GSO23:GSS23"/>
    <mergeCell ref="GST23:GSX23"/>
    <mergeCell ref="GSY23:GTC23"/>
    <mergeCell ref="GTD23:GTH23"/>
    <mergeCell ref="GTI23:GTM23"/>
    <mergeCell ref="GTN23:GTR23"/>
    <mergeCell ref="GTS23:GTW23"/>
    <mergeCell ref="GTX23:GUB23"/>
    <mergeCell ref="GUC23:GUG23"/>
    <mergeCell ref="GUH23:GUL23"/>
    <mergeCell ref="GUM23:GUQ23"/>
    <mergeCell ref="GUR23:GUV23"/>
    <mergeCell ref="GUW23:GVA23"/>
    <mergeCell ref="GVB23:GVF23"/>
    <mergeCell ref="GVG23:GVK23"/>
    <mergeCell ref="GVL23:GVP23"/>
    <mergeCell ref="GVQ23:GVU23"/>
    <mergeCell ref="GVV23:GVZ23"/>
    <mergeCell ref="GWA23:GWE23"/>
    <mergeCell ref="GWF23:GWJ23"/>
    <mergeCell ref="GWK23:GWO23"/>
    <mergeCell ref="GWP23:GWT23"/>
    <mergeCell ref="GWU23:GWY23"/>
    <mergeCell ref="GWZ23:GXD23"/>
    <mergeCell ref="GXE23:GXI23"/>
    <mergeCell ref="GXJ23:GXN23"/>
    <mergeCell ref="GXO23:GXS23"/>
    <mergeCell ref="GXT23:GXX23"/>
    <mergeCell ref="GXY23:GYC23"/>
    <mergeCell ref="GYD23:GYH23"/>
    <mergeCell ref="GYI23:GYM23"/>
    <mergeCell ref="GYN23:GYR23"/>
    <mergeCell ref="GYS23:GYW23"/>
    <mergeCell ref="GYX23:GZB23"/>
    <mergeCell ref="GZC23:GZG23"/>
    <mergeCell ref="GZH23:GZL23"/>
    <mergeCell ref="GZM23:GZQ23"/>
    <mergeCell ref="GZR23:GZV23"/>
    <mergeCell ref="GZW23:HAA23"/>
    <mergeCell ref="HAB23:HAF23"/>
    <mergeCell ref="HAG23:HAK23"/>
    <mergeCell ref="HAL23:HAP23"/>
    <mergeCell ref="HAQ23:HAU23"/>
    <mergeCell ref="HAV23:HAZ23"/>
    <mergeCell ref="HBA23:HBE23"/>
    <mergeCell ref="HBF23:HBJ23"/>
    <mergeCell ref="HBK23:HBO23"/>
    <mergeCell ref="HBP23:HBT23"/>
    <mergeCell ref="HBU23:HBY23"/>
    <mergeCell ref="HBZ23:HCD23"/>
    <mergeCell ref="HCE23:HCI23"/>
    <mergeCell ref="HCJ23:HCN23"/>
    <mergeCell ref="HCO23:HCS23"/>
    <mergeCell ref="HCT23:HCX23"/>
    <mergeCell ref="HCY23:HDC23"/>
    <mergeCell ref="HDD23:HDH23"/>
    <mergeCell ref="HDI23:HDM23"/>
    <mergeCell ref="HDN23:HDR23"/>
    <mergeCell ref="HDS23:HDW23"/>
    <mergeCell ref="HDX23:HEB23"/>
    <mergeCell ref="HEC23:HEG23"/>
    <mergeCell ref="HEH23:HEL23"/>
    <mergeCell ref="HEM23:HEQ23"/>
    <mergeCell ref="HER23:HEV23"/>
    <mergeCell ref="HEW23:HFA23"/>
    <mergeCell ref="HFB23:HFF23"/>
    <mergeCell ref="HFG23:HFK23"/>
    <mergeCell ref="HFL23:HFP23"/>
    <mergeCell ref="HFQ23:HFU23"/>
    <mergeCell ref="HFV23:HFZ23"/>
    <mergeCell ref="HGA23:HGE23"/>
    <mergeCell ref="HGF23:HGJ23"/>
    <mergeCell ref="HGK23:HGO23"/>
    <mergeCell ref="HGP23:HGT23"/>
    <mergeCell ref="HGU23:HGY23"/>
    <mergeCell ref="HGZ23:HHD23"/>
    <mergeCell ref="HHE23:HHI23"/>
    <mergeCell ref="HHJ23:HHN23"/>
    <mergeCell ref="HHO23:HHS23"/>
    <mergeCell ref="HHT23:HHX23"/>
    <mergeCell ref="HHY23:HIC23"/>
    <mergeCell ref="HID23:HIH23"/>
    <mergeCell ref="HII23:HIM23"/>
    <mergeCell ref="HIN23:HIR23"/>
    <mergeCell ref="HIS23:HIW23"/>
    <mergeCell ref="HIX23:HJB23"/>
    <mergeCell ref="HJC23:HJG23"/>
    <mergeCell ref="HJH23:HJL23"/>
    <mergeCell ref="HJM23:HJQ23"/>
    <mergeCell ref="HJR23:HJV23"/>
    <mergeCell ref="HJW23:HKA23"/>
    <mergeCell ref="HKB23:HKF23"/>
    <mergeCell ref="HKG23:HKK23"/>
    <mergeCell ref="HKL23:HKP23"/>
    <mergeCell ref="HKQ23:HKU23"/>
    <mergeCell ref="HKV23:HKZ23"/>
    <mergeCell ref="HLA23:HLE23"/>
    <mergeCell ref="HLF23:HLJ23"/>
    <mergeCell ref="HLK23:HLO23"/>
    <mergeCell ref="HLP23:HLT23"/>
    <mergeCell ref="HLU23:HLY23"/>
    <mergeCell ref="HLZ23:HMD23"/>
    <mergeCell ref="HME23:HMI23"/>
    <mergeCell ref="HMJ23:HMN23"/>
    <mergeCell ref="HMO23:HMS23"/>
    <mergeCell ref="HMT23:HMX23"/>
    <mergeCell ref="HMY23:HNC23"/>
    <mergeCell ref="HND23:HNH23"/>
    <mergeCell ref="HNI23:HNM23"/>
    <mergeCell ref="HNN23:HNR23"/>
    <mergeCell ref="HNS23:HNW23"/>
    <mergeCell ref="HNX23:HOB23"/>
    <mergeCell ref="HOC23:HOG23"/>
    <mergeCell ref="HOH23:HOL23"/>
    <mergeCell ref="HOM23:HOQ23"/>
    <mergeCell ref="HOR23:HOV23"/>
    <mergeCell ref="HOW23:HPA23"/>
    <mergeCell ref="HPB23:HPF23"/>
    <mergeCell ref="HPG23:HPK23"/>
    <mergeCell ref="HPL23:HPP23"/>
    <mergeCell ref="HPQ23:HPU23"/>
    <mergeCell ref="HPV23:HPZ23"/>
    <mergeCell ref="HQA23:HQE23"/>
    <mergeCell ref="HQF23:HQJ23"/>
    <mergeCell ref="HQK23:HQO23"/>
    <mergeCell ref="HQP23:HQT23"/>
    <mergeCell ref="HQU23:HQY23"/>
    <mergeCell ref="HQZ23:HRD23"/>
    <mergeCell ref="HRE23:HRI23"/>
    <mergeCell ref="HRJ23:HRN23"/>
    <mergeCell ref="HRO23:HRS23"/>
    <mergeCell ref="HRT23:HRX23"/>
    <mergeCell ref="HRY23:HSC23"/>
    <mergeCell ref="HSD23:HSH23"/>
    <mergeCell ref="HSI23:HSM23"/>
    <mergeCell ref="HSN23:HSR23"/>
    <mergeCell ref="HSS23:HSW23"/>
    <mergeCell ref="HSX23:HTB23"/>
    <mergeCell ref="HTC23:HTG23"/>
    <mergeCell ref="HTH23:HTL23"/>
    <mergeCell ref="HTM23:HTQ23"/>
    <mergeCell ref="HTR23:HTV23"/>
    <mergeCell ref="HTW23:HUA23"/>
    <mergeCell ref="HUB23:HUF23"/>
    <mergeCell ref="HUG23:HUK23"/>
    <mergeCell ref="HUL23:HUP23"/>
    <mergeCell ref="HUQ23:HUU23"/>
    <mergeCell ref="HUV23:HUZ23"/>
    <mergeCell ref="HVA23:HVE23"/>
    <mergeCell ref="HVF23:HVJ23"/>
    <mergeCell ref="HVK23:HVO23"/>
    <mergeCell ref="HVP23:HVT23"/>
    <mergeCell ref="HVU23:HVY23"/>
    <mergeCell ref="HVZ23:HWD23"/>
    <mergeCell ref="HWE23:HWI23"/>
    <mergeCell ref="HWJ23:HWN23"/>
    <mergeCell ref="HWO23:HWS23"/>
    <mergeCell ref="HWT23:HWX23"/>
    <mergeCell ref="HWY23:HXC23"/>
    <mergeCell ref="HXD23:HXH23"/>
    <mergeCell ref="HXI23:HXM23"/>
    <mergeCell ref="HXN23:HXR23"/>
    <mergeCell ref="HXS23:HXW23"/>
    <mergeCell ref="HXX23:HYB23"/>
    <mergeCell ref="HYC23:HYG23"/>
    <mergeCell ref="HYH23:HYL23"/>
    <mergeCell ref="HYM23:HYQ23"/>
    <mergeCell ref="HYR23:HYV23"/>
    <mergeCell ref="HYW23:HZA23"/>
    <mergeCell ref="HZB23:HZF23"/>
    <mergeCell ref="HZG23:HZK23"/>
    <mergeCell ref="HZL23:HZP23"/>
    <mergeCell ref="HZQ23:HZU23"/>
    <mergeCell ref="HZV23:HZZ23"/>
    <mergeCell ref="IAA23:IAE23"/>
    <mergeCell ref="IAF23:IAJ23"/>
    <mergeCell ref="IAK23:IAO23"/>
    <mergeCell ref="IAP23:IAT23"/>
    <mergeCell ref="IAU23:IAY23"/>
    <mergeCell ref="IAZ23:IBD23"/>
    <mergeCell ref="IBE23:IBI23"/>
    <mergeCell ref="IBJ23:IBN23"/>
    <mergeCell ref="IBO23:IBS23"/>
    <mergeCell ref="IBT23:IBX23"/>
    <mergeCell ref="IBY23:ICC23"/>
    <mergeCell ref="ICD23:ICH23"/>
    <mergeCell ref="ICI23:ICM23"/>
    <mergeCell ref="ICN23:ICR23"/>
    <mergeCell ref="ICS23:ICW23"/>
    <mergeCell ref="ICX23:IDB23"/>
    <mergeCell ref="IDC23:IDG23"/>
    <mergeCell ref="IDH23:IDL23"/>
    <mergeCell ref="IDM23:IDQ23"/>
    <mergeCell ref="IDR23:IDV23"/>
    <mergeCell ref="IDW23:IEA23"/>
    <mergeCell ref="IEB23:IEF23"/>
    <mergeCell ref="IEG23:IEK23"/>
    <mergeCell ref="IEL23:IEP23"/>
    <mergeCell ref="IEQ23:IEU23"/>
    <mergeCell ref="IEV23:IEZ23"/>
    <mergeCell ref="IFA23:IFE23"/>
    <mergeCell ref="IFF23:IFJ23"/>
    <mergeCell ref="IFK23:IFO23"/>
    <mergeCell ref="IFP23:IFT23"/>
    <mergeCell ref="IFU23:IFY23"/>
    <mergeCell ref="IFZ23:IGD23"/>
    <mergeCell ref="IGE23:IGI23"/>
    <mergeCell ref="IGJ23:IGN23"/>
    <mergeCell ref="IGO23:IGS23"/>
    <mergeCell ref="IGT23:IGX23"/>
    <mergeCell ref="IGY23:IHC23"/>
    <mergeCell ref="IHD23:IHH23"/>
    <mergeCell ref="IHI23:IHM23"/>
    <mergeCell ref="IHN23:IHR23"/>
    <mergeCell ref="IHS23:IHW23"/>
    <mergeCell ref="IHX23:IIB23"/>
    <mergeCell ref="IIC23:IIG23"/>
    <mergeCell ref="IIH23:IIL23"/>
    <mergeCell ref="IIM23:IIQ23"/>
    <mergeCell ref="IIR23:IIV23"/>
    <mergeCell ref="IIW23:IJA23"/>
    <mergeCell ref="IJB23:IJF23"/>
    <mergeCell ref="IJG23:IJK23"/>
    <mergeCell ref="IJL23:IJP23"/>
    <mergeCell ref="IJQ23:IJU23"/>
    <mergeCell ref="IJV23:IJZ23"/>
    <mergeCell ref="IKA23:IKE23"/>
    <mergeCell ref="IKF23:IKJ23"/>
    <mergeCell ref="IKK23:IKO23"/>
    <mergeCell ref="IKP23:IKT23"/>
    <mergeCell ref="IKU23:IKY23"/>
    <mergeCell ref="IKZ23:ILD23"/>
    <mergeCell ref="ILE23:ILI23"/>
    <mergeCell ref="ILJ23:ILN23"/>
    <mergeCell ref="ILO23:ILS23"/>
    <mergeCell ref="ILT23:ILX23"/>
    <mergeCell ref="ILY23:IMC23"/>
    <mergeCell ref="IMD23:IMH23"/>
    <mergeCell ref="IMI23:IMM23"/>
    <mergeCell ref="IMN23:IMR23"/>
    <mergeCell ref="IMS23:IMW23"/>
    <mergeCell ref="IMX23:INB23"/>
    <mergeCell ref="INC23:ING23"/>
    <mergeCell ref="INH23:INL23"/>
    <mergeCell ref="INM23:INQ23"/>
    <mergeCell ref="INR23:INV23"/>
    <mergeCell ref="INW23:IOA23"/>
    <mergeCell ref="IOB23:IOF23"/>
    <mergeCell ref="IOG23:IOK23"/>
    <mergeCell ref="IOL23:IOP23"/>
    <mergeCell ref="IOQ23:IOU23"/>
    <mergeCell ref="IOV23:IOZ23"/>
    <mergeCell ref="IPA23:IPE23"/>
    <mergeCell ref="IPF23:IPJ23"/>
    <mergeCell ref="IPK23:IPO23"/>
    <mergeCell ref="IPP23:IPT23"/>
    <mergeCell ref="IPU23:IPY23"/>
    <mergeCell ref="IPZ23:IQD23"/>
    <mergeCell ref="IQE23:IQI23"/>
    <mergeCell ref="IQJ23:IQN23"/>
    <mergeCell ref="IQO23:IQS23"/>
    <mergeCell ref="IQT23:IQX23"/>
    <mergeCell ref="IQY23:IRC23"/>
    <mergeCell ref="IRD23:IRH23"/>
    <mergeCell ref="IRI23:IRM23"/>
    <mergeCell ref="IRN23:IRR23"/>
    <mergeCell ref="IRS23:IRW23"/>
    <mergeCell ref="IRX23:ISB23"/>
    <mergeCell ref="ISC23:ISG23"/>
    <mergeCell ref="ISH23:ISL23"/>
    <mergeCell ref="ISM23:ISQ23"/>
    <mergeCell ref="ISR23:ISV23"/>
    <mergeCell ref="ISW23:ITA23"/>
    <mergeCell ref="ITB23:ITF23"/>
    <mergeCell ref="ITG23:ITK23"/>
    <mergeCell ref="ITL23:ITP23"/>
    <mergeCell ref="ITQ23:ITU23"/>
    <mergeCell ref="ITV23:ITZ23"/>
    <mergeCell ref="IUA23:IUE23"/>
    <mergeCell ref="IUF23:IUJ23"/>
    <mergeCell ref="IUK23:IUO23"/>
    <mergeCell ref="IUP23:IUT23"/>
    <mergeCell ref="IUU23:IUY23"/>
    <mergeCell ref="IUZ23:IVD23"/>
    <mergeCell ref="IVE23:IVI23"/>
    <mergeCell ref="IVJ23:IVN23"/>
    <mergeCell ref="IVO23:IVS23"/>
    <mergeCell ref="IVT23:IVX23"/>
    <mergeCell ref="IVY23:IWC23"/>
    <mergeCell ref="IWD23:IWH23"/>
    <mergeCell ref="IWI23:IWM23"/>
    <mergeCell ref="IWN23:IWR23"/>
    <mergeCell ref="IWS23:IWW23"/>
    <mergeCell ref="IWX23:IXB23"/>
    <mergeCell ref="IXC23:IXG23"/>
    <mergeCell ref="IXH23:IXL23"/>
    <mergeCell ref="IXM23:IXQ23"/>
    <mergeCell ref="IXR23:IXV23"/>
    <mergeCell ref="IXW23:IYA23"/>
    <mergeCell ref="IYB23:IYF23"/>
    <mergeCell ref="IYG23:IYK23"/>
    <mergeCell ref="IYL23:IYP23"/>
    <mergeCell ref="IYQ23:IYU23"/>
    <mergeCell ref="IYV23:IYZ23"/>
    <mergeCell ref="IZA23:IZE23"/>
    <mergeCell ref="IZF23:IZJ23"/>
    <mergeCell ref="IZK23:IZO23"/>
    <mergeCell ref="IZP23:IZT23"/>
    <mergeCell ref="IZU23:IZY23"/>
    <mergeCell ref="IZZ23:JAD23"/>
    <mergeCell ref="JAE23:JAI23"/>
    <mergeCell ref="JAJ23:JAN23"/>
    <mergeCell ref="JAO23:JAS23"/>
    <mergeCell ref="JAT23:JAX23"/>
    <mergeCell ref="JAY23:JBC23"/>
    <mergeCell ref="JBD23:JBH23"/>
    <mergeCell ref="JBI23:JBM23"/>
    <mergeCell ref="JBN23:JBR23"/>
    <mergeCell ref="JBS23:JBW23"/>
    <mergeCell ref="JBX23:JCB23"/>
    <mergeCell ref="JCC23:JCG23"/>
    <mergeCell ref="JCH23:JCL23"/>
    <mergeCell ref="JCM23:JCQ23"/>
    <mergeCell ref="JCR23:JCV23"/>
    <mergeCell ref="JCW23:JDA23"/>
    <mergeCell ref="JDB23:JDF23"/>
    <mergeCell ref="JDG23:JDK23"/>
    <mergeCell ref="JDL23:JDP23"/>
    <mergeCell ref="JDQ23:JDU23"/>
    <mergeCell ref="JDV23:JDZ23"/>
    <mergeCell ref="JEA23:JEE23"/>
    <mergeCell ref="JEF23:JEJ23"/>
    <mergeCell ref="JEK23:JEO23"/>
    <mergeCell ref="JEP23:JET23"/>
    <mergeCell ref="JEU23:JEY23"/>
    <mergeCell ref="JEZ23:JFD23"/>
    <mergeCell ref="JFE23:JFI23"/>
    <mergeCell ref="JFJ23:JFN23"/>
    <mergeCell ref="JFO23:JFS23"/>
    <mergeCell ref="JFT23:JFX23"/>
    <mergeCell ref="JFY23:JGC23"/>
    <mergeCell ref="JGD23:JGH23"/>
    <mergeCell ref="JGI23:JGM23"/>
    <mergeCell ref="JGN23:JGR23"/>
    <mergeCell ref="JGS23:JGW23"/>
    <mergeCell ref="JGX23:JHB23"/>
    <mergeCell ref="JHC23:JHG23"/>
    <mergeCell ref="JHH23:JHL23"/>
    <mergeCell ref="JHM23:JHQ23"/>
    <mergeCell ref="JHR23:JHV23"/>
    <mergeCell ref="JHW23:JIA23"/>
    <mergeCell ref="JIB23:JIF23"/>
    <mergeCell ref="JIG23:JIK23"/>
    <mergeCell ref="JIL23:JIP23"/>
    <mergeCell ref="JIQ23:JIU23"/>
    <mergeCell ref="JIV23:JIZ23"/>
    <mergeCell ref="JJA23:JJE23"/>
    <mergeCell ref="JJF23:JJJ23"/>
    <mergeCell ref="JJK23:JJO23"/>
    <mergeCell ref="JJP23:JJT23"/>
    <mergeCell ref="JJU23:JJY23"/>
    <mergeCell ref="JJZ23:JKD23"/>
    <mergeCell ref="JKE23:JKI23"/>
    <mergeCell ref="JKJ23:JKN23"/>
    <mergeCell ref="JKO23:JKS23"/>
    <mergeCell ref="JKT23:JKX23"/>
    <mergeCell ref="JKY23:JLC23"/>
    <mergeCell ref="JLD23:JLH23"/>
    <mergeCell ref="JLI23:JLM23"/>
    <mergeCell ref="JLN23:JLR23"/>
    <mergeCell ref="JLS23:JLW23"/>
    <mergeCell ref="JLX23:JMB23"/>
    <mergeCell ref="JMC23:JMG23"/>
    <mergeCell ref="JMH23:JML23"/>
    <mergeCell ref="JMM23:JMQ23"/>
    <mergeCell ref="JMR23:JMV23"/>
    <mergeCell ref="JMW23:JNA23"/>
    <mergeCell ref="JNB23:JNF23"/>
    <mergeCell ref="JNG23:JNK23"/>
    <mergeCell ref="JNL23:JNP23"/>
    <mergeCell ref="JNQ23:JNU23"/>
    <mergeCell ref="JNV23:JNZ23"/>
    <mergeCell ref="JOA23:JOE23"/>
    <mergeCell ref="JOF23:JOJ23"/>
    <mergeCell ref="JOK23:JOO23"/>
    <mergeCell ref="JOP23:JOT23"/>
    <mergeCell ref="JOU23:JOY23"/>
    <mergeCell ref="JOZ23:JPD23"/>
    <mergeCell ref="JPE23:JPI23"/>
    <mergeCell ref="JPJ23:JPN23"/>
    <mergeCell ref="JPO23:JPS23"/>
    <mergeCell ref="JPT23:JPX23"/>
    <mergeCell ref="JPY23:JQC23"/>
    <mergeCell ref="JQD23:JQH23"/>
    <mergeCell ref="JQI23:JQM23"/>
    <mergeCell ref="JQN23:JQR23"/>
    <mergeCell ref="JQS23:JQW23"/>
    <mergeCell ref="JQX23:JRB23"/>
    <mergeCell ref="JRC23:JRG23"/>
    <mergeCell ref="JRH23:JRL23"/>
    <mergeCell ref="JRM23:JRQ23"/>
    <mergeCell ref="JRR23:JRV23"/>
    <mergeCell ref="JRW23:JSA23"/>
    <mergeCell ref="JSB23:JSF23"/>
    <mergeCell ref="JSG23:JSK23"/>
    <mergeCell ref="JSL23:JSP23"/>
    <mergeCell ref="JSQ23:JSU23"/>
    <mergeCell ref="JSV23:JSZ23"/>
    <mergeCell ref="JTA23:JTE23"/>
    <mergeCell ref="JTF23:JTJ23"/>
    <mergeCell ref="JTK23:JTO23"/>
    <mergeCell ref="JTP23:JTT23"/>
    <mergeCell ref="JTU23:JTY23"/>
    <mergeCell ref="JTZ23:JUD23"/>
    <mergeCell ref="JUE23:JUI23"/>
    <mergeCell ref="JUJ23:JUN23"/>
    <mergeCell ref="JUO23:JUS23"/>
    <mergeCell ref="JUT23:JUX23"/>
    <mergeCell ref="JUY23:JVC23"/>
    <mergeCell ref="JVD23:JVH23"/>
    <mergeCell ref="JVI23:JVM23"/>
    <mergeCell ref="JVN23:JVR23"/>
    <mergeCell ref="JVS23:JVW23"/>
    <mergeCell ref="JVX23:JWB23"/>
    <mergeCell ref="JWC23:JWG23"/>
    <mergeCell ref="JWH23:JWL23"/>
    <mergeCell ref="JWM23:JWQ23"/>
    <mergeCell ref="JWR23:JWV23"/>
    <mergeCell ref="JWW23:JXA23"/>
    <mergeCell ref="JXB23:JXF23"/>
    <mergeCell ref="JXG23:JXK23"/>
    <mergeCell ref="JXL23:JXP23"/>
    <mergeCell ref="JXQ23:JXU23"/>
    <mergeCell ref="JXV23:JXZ23"/>
    <mergeCell ref="JYA23:JYE23"/>
    <mergeCell ref="JYF23:JYJ23"/>
    <mergeCell ref="JYK23:JYO23"/>
    <mergeCell ref="JYP23:JYT23"/>
    <mergeCell ref="JYU23:JYY23"/>
    <mergeCell ref="JYZ23:JZD23"/>
    <mergeCell ref="JZE23:JZI23"/>
    <mergeCell ref="JZJ23:JZN23"/>
    <mergeCell ref="JZO23:JZS23"/>
    <mergeCell ref="JZT23:JZX23"/>
    <mergeCell ref="JZY23:KAC23"/>
    <mergeCell ref="KAD23:KAH23"/>
    <mergeCell ref="KAI23:KAM23"/>
    <mergeCell ref="KAN23:KAR23"/>
    <mergeCell ref="KAS23:KAW23"/>
    <mergeCell ref="KAX23:KBB23"/>
    <mergeCell ref="KBC23:KBG23"/>
    <mergeCell ref="KBH23:KBL23"/>
    <mergeCell ref="KBM23:KBQ23"/>
    <mergeCell ref="KBR23:KBV23"/>
    <mergeCell ref="KBW23:KCA23"/>
    <mergeCell ref="KCB23:KCF23"/>
    <mergeCell ref="KCG23:KCK23"/>
    <mergeCell ref="KCL23:KCP23"/>
    <mergeCell ref="KCQ23:KCU23"/>
    <mergeCell ref="KCV23:KCZ23"/>
    <mergeCell ref="KDA23:KDE23"/>
    <mergeCell ref="KDF23:KDJ23"/>
    <mergeCell ref="KDK23:KDO23"/>
    <mergeCell ref="KDP23:KDT23"/>
    <mergeCell ref="KDU23:KDY23"/>
    <mergeCell ref="KDZ23:KED23"/>
    <mergeCell ref="KEE23:KEI23"/>
    <mergeCell ref="KEJ23:KEN23"/>
    <mergeCell ref="KEO23:KES23"/>
    <mergeCell ref="KET23:KEX23"/>
    <mergeCell ref="KEY23:KFC23"/>
    <mergeCell ref="KFD23:KFH23"/>
    <mergeCell ref="KFI23:KFM23"/>
    <mergeCell ref="KFN23:KFR23"/>
    <mergeCell ref="KFS23:KFW23"/>
    <mergeCell ref="KFX23:KGB23"/>
    <mergeCell ref="KGC23:KGG23"/>
    <mergeCell ref="KGH23:KGL23"/>
    <mergeCell ref="KGM23:KGQ23"/>
    <mergeCell ref="KGR23:KGV23"/>
    <mergeCell ref="KGW23:KHA23"/>
    <mergeCell ref="KHB23:KHF23"/>
    <mergeCell ref="KHG23:KHK23"/>
    <mergeCell ref="KHL23:KHP23"/>
    <mergeCell ref="KHQ23:KHU23"/>
    <mergeCell ref="KHV23:KHZ23"/>
    <mergeCell ref="KIA23:KIE23"/>
    <mergeCell ref="KIF23:KIJ23"/>
    <mergeCell ref="KIK23:KIO23"/>
    <mergeCell ref="KIP23:KIT23"/>
    <mergeCell ref="KIU23:KIY23"/>
    <mergeCell ref="KIZ23:KJD23"/>
    <mergeCell ref="KJE23:KJI23"/>
    <mergeCell ref="KJJ23:KJN23"/>
    <mergeCell ref="KJO23:KJS23"/>
    <mergeCell ref="KJT23:KJX23"/>
    <mergeCell ref="KJY23:KKC23"/>
    <mergeCell ref="KKD23:KKH23"/>
    <mergeCell ref="KKI23:KKM23"/>
    <mergeCell ref="KKN23:KKR23"/>
    <mergeCell ref="KKS23:KKW23"/>
    <mergeCell ref="KKX23:KLB23"/>
    <mergeCell ref="KLC23:KLG23"/>
    <mergeCell ref="KLH23:KLL23"/>
    <mergeCell ref="KLM23:KLQ23"/>
    <mergeCell ref="KLR23:KLV23"/>
    <mergeCell ref="KLW23:KMA23"/>
    <mergeCell ref="KMB23:KMF23"/>
    <mergeCell ref="KMG23:KMK23"/>
    <mergeCell ref="KML23:KMP23"/>
    <mergeCell ref="KMQ23:KMU23"/>
    <mergeCell ref="KMV23:KMZ23"/>
    <mergeCell ref="KNA23:KNE23"/>
    <mergeCell ref="KNF23:KNJ23"/>
    <mergeCell ref="KNK23:KNO23"/>
    <mergeCell ref="KNP23:KNT23"/>
    <mergeCell ref="KNU23:KNY23"/>
    <mergeCell ref="KNZ23:KOD23"/>
    <mergeCell ref="KOE23:KOI23"/>
    <mergeCell ref="KOJ23:KON23"/>
    <mergeCell ref="KOO23:KOS23"/>
    <mergeCell ref="KOT23:KOX23"/>
    <mergeCell ref="KOY23:KPC23"/>
    <mergeCell ref="KPD23:KPH23"/>
    <mergeCell ref="KPI23:KPM23"/>
    <mergeCell ref="KPN23:KPR23"/>
    <mergeCell ref="KPS23:KPW23"/>
    <mergeCell ref="KPX23:KQB23"/>
    <mergeCell ref="KQC23:KQG23"/>
    <mergeCell ref="KQH23:KQL23"/>
    <mergeCell ref="KQM23:KQQ23"/>
    <mergeCell ref="KQR23:KQV23"/>
    <mergeCell ref="KQW23:KRA23"/>
    <mergeCell ref="KRB23:KRF23"/>
    <mergeCell ref="KRG23:KRK23"/>
    <mergeCell ref="KRL23:KRP23"/>
    <mergeCell ref="KRQ23:KRU23"/>
    <mergeCell ref="KRV23:KRZ23"/>
    <mergeCell ref="KSA23:KSE23"/>
    <mergeCell ref="KSF23:KSJ23"/>
    <mergeCell ref="KSK23:KSO23"/>
    <mergeCell ref="KSP23:KST23"/>
    <mergeCell ref="KSU23:KSY23"/>
    <mergeCell ref="KSZ23:KTD23"/>
    <mergeCell ref="KTE23:KTI23"/>
    <mergeCell ref="KTJ23:KTN23"/>
    <mergeCell ref="KTO23:KTS23"/>
    <mergeCell ref="KTT23:KTX23"/>
    <mergeCell ref="KTY23:KUC23"/>
    <mergeCell ref="KUD23:KUH23"/>
    <mergeCell ref="KUI23:KUM23"/>
    <mergeCell ref="KUN23:KUR23"/>
    <mergeCell ref="KUS23:KUW23"/>
    <mergeCell ref="KUX23:KVB23"/>
    <mergeCell ref="KVC23:KVG23"/>
    <mergeCell ref="KVH23:KVL23"/>
    <mergeCell ref="KVM23:KVQ23"/>
    <mergeCell ref="KVR23:KVV23"/>
    <mergeCell ref="KVW23:KWA23"/>
    <mergeCell ref="KWB23:KWF23"/>
    <mergeCell ref="KWG23:KWK23"/>
    <mergeCell ref="KWL23:KWP23"/>
    <mergeCell ref="KWQ23:KWU23"/>
    <mergeCell ref="KWV23:KWZ23"/>
    <mergeCell ref="KXA23:KXE23"/>
    <mergeCell ref="KXF23:KXJ23"/>
    <mergeCell ref="KXK23:KXO23"/>
    <mergeCell ref="KXP23:KXT23"/>
    <mergeCell ref="KXU23:KXY23"/>
    <mergeCell ref="KXZ23:KYD23"/>
    <mergeCell ref="KYE23:KYI23"/>
    <mergeCell ref="KYJ23:KYN23"/>
    <mergeCell ref="KYO23:KYS23"/>
    <mergeCell ref="KYT23:KYX23"/>
    <mergeCell ref="KYY23:KZC23"/>
    <mergeCell ref="KZD23:KZH23"/>
    <mergeCell ref="KZI23:KZM23"/>
    <mergeCell ref="KZN23:KZR23"/>
    <mergeCell ref="KZS23:KZW23"/>
    <mergeCell ref="KZX23:LAB23"/>
    <mergeCell ref="LAC23:LAG23"/>
    <mergeCell ref="LAH23:LAL23"/>
    <mergeCell ref="LAM23:LAQ23"/>
    <mergeCell ref="LAR23:LAV23"/>
    <mergeCell ref="LAW23:LBA23"/>
    <mergeCell ref="LBB23:LBF23"/>
    <mergeCell ref="LBG23:LBK23"/>
    <mergeCell ref="LBL23:LBP23"/>
    <mergeCell ref="LBQ23:LBU23"/>
    <mergeCell ref="LBV23:LBZ23"/>
    <mergeCell ref="LCA23:LCE23"/>
    <mergeCell ref="LCF23:LCJ23"/>
    <mergeCell ref="LCK23:LCO23"/>
    <mergeCell ref="LCP23:LCT23"/>
    <mergeCell ref="LCU23:LCY23"/>
    <mergeCell ref="LCZ23:LDD23"/>
    <mergeCell ref="LDE23:LDI23"/>
    <mergeCell ref="LDJ23:LDN23"/>
    <mergeCell ref="LDO23:LDS23"/>
    <mergeCell ref="LDT23:LDX23"/>
    <mergeCell ref="LDY23:LEC23"/>
    <mergeCell ref="LED23:LEH23"/>
    <mergeCell ref="LEI23:LEM23"/>
    <mergeCell ref="LEN23:LER23"/>
    <mergeCell ref="LES23:LEW23"/>
    <mergeCell ref="LEX23:LFB23"/>
    <mergeCell ref="LFC23:LFG23"/>
    <mergeCell ref="LFH23:LFL23"/>
    <mergeCell ref="LFM23:LFQ23"/>
    <mergeCell ref="LFR23:LFV23"/>
    <mergeCell ref="LFW23:LGA23"/>
    <mergeCell ref="LGB23:LGF23"/>
    <mergeCell ref="LGG23:LGK23"/>
    <mergeCell ref="LGL23:LGP23"/>
    <mergeCell ref="LGQ23:LGU23"/>
    <mergeCell ref="LGV23:LGZ23"/>
    <mergeCell ref="LHA23:LHE23"/>
    <mergeCell ref="LHF23:LHJ23"/>
    <mergeCell ref="LHK23:LHO23"/>
    <mergeCell ref="LHP23:LHT23"/>
    <mergeCell ref="LHU23:LHY23"/>
    <mergeCell ref="LHZ23:LID23"/>
    <mergeCell ref="LIE23:LII23"/>
    <mergeCell ref="LIJ23:LIN23"/>
    <mergeCell ref="LIO23:LIS23"/>
    <mergeCell ref="LIT23:LIX23"/>
    <mergeCell ref="LIY23:LJC23"/>
    <mergeCell ref="LJD23:LJH23"/>
    <mergeCell ref="LJI23:LJM23"/>
    <mergeCell ref="LJN23:LJR23"/>
    <mergeCell ref="LJS23:LJW23"/>
    <mergeCell ref="LJX23:LKB23"/>
    <mergeCell ref="LKC23:LKG23"/>
    <mergeCell ref="LKH23:LKL23"/>
    <mergeCell ref="LKM23:LKQ23"/>
    <mergeCell ref="LKR23:LKV23"/>
    <mergeCell ref="LKW23:LLA23"/>
    <mergeCell ref="LLB23:LLF23"/>
    <mergeCell ref="LLG23:LLK23"/>
    <mergeCell ref="LLL23:LLP23"/>
    <mergeCell ref="LLQ23:LLU23"/>
    <mergeCell ref="LLV23:LLZ23"/>
    <mergeCell ref="LMA23:LME23"/>
    <mergeCell ref="LMF23:LMJ23"/>
    <mergeCell ref="LMK23:LMO23"/>
    <mergeCell ref="LMP23:LMT23"/>
    <mergeCell ref="LMU23:LMY23"/>
    <mergeCell ref="LMZ23:LND23"/>
    <mergeCell ref="LNE23:LNI23"/>
    <mergeCell ref="LNJ23:LNN23"/>
    <mergeCell ref="LNO23:LNS23"/>
    <mergeCell ref="LNT23:LNX23"/>
    <mergeCell ref="LNY23:LOC23"/>
    <mergeCell ref="LOD23:LOH23"/>
    <mergeCell ref="LOI23:LOM23"/>
    <mergeCell ref="LON23:LOR23"/>
    <mergeCell ref="LOS23:LOW23"/>
    <mergeCell ref="LOX23:LPB23"/>
    <mergeCell ref="LPC23:LPG23"/>
    <mergeCell ref="LPH23:LPL23"/>
    <mergeCell ref="LPM23:LPQ23"/>
    <mergeCell ref="LPR23:LPV23"/>
    <mergeCell ref="LPW23:LQA23"/>
    <mergeCell ref="LQB23:LQF23"/>
    <mergeCell ref="LQG23:LQK23"/>
    <mergeCell ref="LQL23:LQP23"/>
    <mergeCell ref="LQQ23:LQU23"/>
    <mergeCell ref="LQV23:LQZ23"/>
    <mergeCell ref="LRA23:LRE23"/>
    <mergeCell ref="LRF23:LRJ23"/>
    <mergeCell ref="LRK23:LRO23"/>
    <mergeCell ref="LRP23:LRT23"/>
    <mergeCell ref="LRU23:LRY23"/>
    <mergeCell ref="LRZ23:LSD23"/>
    <mergeCell ref="LSE23:LSI23"/>
    <mergeCell ref="LSJ23:LSN23"/>
    <mergeCell ref="LSO23:LSS23"/>
    <mergeCell ref="LST23:LSX23"/>
    <mergeCell ref="LSY23:LTC23"/>
    <mergeCell ref="LTD23:LTH23"/>
    <mergeCell ref="LTI23:LTM23"/>
    <mergeCell ref="LTN23:LTR23"/>
    <mergeCell ref="LTS23:LTW23"/>
    <mergeCell ref="LTX23:LUB23"/>
    <mergeCell ref="LUC23:LUG23"/>
    <mergeCell ref="LUH23:LUL23"/>
    <mergeCell ref="LUM23:LUQ23"/>
    <mergeCell ref="LUR23:LUV23"/>
    <mergeCell ref="LUW23:LVA23"/>
    <mergeCell ref="LVB23:LVF23"/>
    <mergeCell ref="LVG23:LVK23"/>
    <mergeCell ref="LVL23:LVP23"/>
    <mergeCell ref="LVQ23:LVU23"/>
    <mergeCell ref="LVV23:LVZ23"/>
    <mergeCell ref="LWA23:LWE23"/>
    <mergeCell ref="LWF23:LWJ23"/>
    <mergeCell ref="LWK23:LWO23"/>
    <mergeCell ref="LWP23:LWT23"/>
    <mergeCell ref="LWU23:LWY23"/>
    <mergeCell ref="LWZ23:LXD23"/>
    <mergeCell ref="LXE23:LXI23"/>
    <mergeCell ref="LXJ23:LXN23"/>
    <mergeCell ref="LXO23:LXS23"/>
    <mergeCell ref="LXT23:LXX23"/>
    <mergeCell ref="LXY23:LYC23"/>
    <mergeCell ref="LYD23:LYH23"/>
    <mergeCell ref="LYI23:LYM23"/>
    <mergeCell ref="LYN23:LYR23"/>
    <mergeCell ref="LYS23:LYW23"/>
    <mergeCell ref="LYX23:LZB23"/>
    <mergeCell ref="LZC23:LZG23"/>
    <mergeCell ref="LZH23:LZL23"/>
    <mergeCell ref="LZM23:LZQ23"/>
    <mergeCell ref="LZR23:LZV23"/>
    <mergeCell ref="LZW23:MAA23"/>
    <mergeCell ref="MAB23:MAF23"/>
    <mergeCell ref="MAG23:MAK23"/>
    <mergeCell ref="MAL23:MAP23"/>
    <mergeCell ref="MAQ23:MAU23"/>
    <mergeCell ref="MAV23:MAZ23"/>
    <mergeCell ref="MBA23:MBE23"/>
    <mergeCell ref="MBF23:MBJ23"/>
    <mergeCell ref="MBK23:MBO23"/>
    <mergeCell ref="MBP23:MBT23"/>
    <mergeCell ref="MBU23:MBY23"/>
    <mergeCell ref="MBZ23:MCD23"/>
    <mergeCell ref="MCE23:MCI23"/>
    <mergeCell ref="MCJ23:MCN23"/>
    <mergeCell ref="MCO23:MCS23"/>
    <mergeCell ref="MCT23:MCX23"/>
    <mergeCell ref="MCY23:MDC23"/>
    <mergeCell ref="MDD23:MDH23"/>
    <mergeCell ref="MDI23:MDM23"/>
    <mergeCell ref="MDN23:MDR23"/>
    <mergeCell ref="MDS23:MDW23"/>
    <mergeCell ref="MDX23:MEB23"/>
    <mergeCell ref="MEC23:MEG23"/>
    <mergeCell ref="MEH23:MEL23"/>
    <mergeCell ref="MEM23:MEQ23"/>
    <mergeCell ref="MER23:MEV23"/>
    <mergeCell ref="MEW23:MFA23"/>
    <mergeCell ref="MFB23:MFF23"/>
    <mergeCell ref="MFG23:MFK23"/>
    <mergeCell ref="MFL23:MFP23"/>
    <mergeCell ref="MFQ23:MFU23"/>
    <mergeCell ref="MFV23:MFZ23"/>
    <mergeCell ref="MGA23:MGE23"/>
    <mergeCell ref="MGF23:MGJ23"/>
    <mergeCell ref="MGK23:MGO23"/>
    <mergeCell ref="MGP23:MGT23"/>
    <mergeCell ref="MGU23:MGY23"/>
    <mergeCell ref="MGZ23:MHD23"/>
    <mergeCell ref="MHE23:MHI23"/>
    <mergeCell ref="MHJ23:MHN23"/>
    <mergeCell ref="MHO23:MHS23"/>
    <mergeCell ref="MHT23:MHX23"/>
    <mergeCell ref="MHY23:MIC23"/>
    <mergeCell ref="MID23:MIH23"/>
    <mergeCell ref="MII23:MIM23"/>
    <mergeCell ref="MIN23:MIR23"/>
    <mergeCell ref="MIS23:MIW23"/>
    <mergeCell ref="MIX23:MJB23"/>
    <mergeCell ref="MJC23:MJG23"/>
    <mergeCell ref="MJH23:MJL23"/>
    <mergeCell ref="MJM23:MJQ23"/>
    <mergeCell ref="MJR23:MJV23"/>
    <mergeCell ref="MJW23:MKA23"/>
    <mergeCell ref="MKB23:MKF23"/>
    <mergeCell ref="MKG23:MKK23"/>
    <mergeCell ref="MKL23:MKP23"/>
    <mergeCell ref="MKQ23:MKU23"/>
    <mergeCell ref="MKV23:MKZ23"/>
    <mergeCell ref="MLA23:MLE23"/>
    <mergeCell ref="MLF23:MLJ23"/>
    <mergeCell ref="MLK23:MLO23"/>
    <mergeCell ref="MLP23:MLT23"/>
    <mergeCell ref="MLU23:MLY23"/>
    <mergeCell ref="MLZ23:MMD23"/>
    <mergeCell ref="MME23:MMI23"/>
    <mergeCell ref="MMJ23:MMN23"/>
    <mergeCell ref="MMO23:MMS23"/>
    <mergeCell ref="MMT23:MMX23"/>
    <mergeCell ref="MMY23:MNC23"/>
    <mergeCell ref="MND23:MNH23"/>
    <mergeCell ref="MNI23:MNM23"/>
    <mergeCell ref="MNN23:MNR23"/>
    <mergeCell ref="MNS23:MNW23"/>
    <mergeCell ref="MNX23:MOB23"/>
    <mergeCell ref="MOC23:MOG23"/>
    <mergeCell ref="MOH23:MOL23"/>
    <mergeCell ref="MOM23:MOQ23"/>
    <mergeCell ref="MOR23:MOV23"/>
    <mergeCell ref="MOW23:MPA23"/>
    <mergeCell ref="MPB23:MPF23"/>
    <mergeCell ref="MPG23:MPK23"/>
    <mergeCell ref="MPL23:MPP23"/>
    <mergeCell ref="MPQ23:MPU23"/>
    <mergeCell ref="MPV23:MPZ23"/>
    <mergeCell ref="MQA23:MQE23"/>
    <mergeCell ref="MQF23:MQJ23"/>
    <mergeCell ref="MQK23:MQO23"/>
    <mergeCell ref="MQP23:MQT23"/>
    <mergeCell ref="MQU23:MQY23"/>
    <mergeCell ref="MQZ23:MRD23"/>
    <mergeCell ref="MRE23:MRI23"/>
    <mergeCell ref="MRJ23:MRN23"/>
    <mergeCell ref="MRO23:MRS23"/>
    <mergeCell ref="MRT23:MRX23"/>
    <mergeCell ref="MRY23:MSC23"/>
    <mergeCell ref="MSD23:MSH23"/>
    <mergeCell ref="MSI23:MSM23"/>
    <mergeCell ref="MSN23:MSR23"/>
    <mergeCell ref="MSS23:MSW23"/>
    <mergeCell ref="MSX23:MTB23"/>
    <mergeCell ref="MTC23:MTG23"/>
    <mergeCell ref="MTH23:MTL23"/>
    <mergeCell ref="MTM23:MTQ23"/>
    <mergeCell ref="MTR23:MTV23"/>
    <mergeCell ref="MTW23:MUA23"/>
    <mergeCell ref="MUB23:MUF23"/>
    <mergeCell ref="MUG23:MUK23"/>
    <mergeCell ref="MUL23:MUP23"/>
    <mergeCell ref="MUQ23:MUU23"/>
    <mergeCell ref="MUV23:MUZ23"/>
    <mergeCell ref="MVA23:MVE23"/>
    <mergeCell ref="MVF23:MVJ23"/>
    <mergeCell ref="MVK23:MVO23"/>
    <mergeCell ref="MVP23:MVT23"/>
    <mergeCell ref="MVU23:MVY23"/>
    <mergeCell ref="MVZ23:MWD23"/>
    <mergeCell ref="MWE23:MWI23"/>
    <mergeCell ref="MWJ23:MWN23"/>
    <mergeCell ref="MWO23:MWS23"/>
    <mergeCell ref="MWT23:MWX23"/>
    <mergeCell ref="MWY23:MXC23"/>
    <mergeCell ref="MXD23:MXH23"/>
    <mergeCell ref="MXI23:MXM23"/>
    <mergeCell ref="MXN23:MXR23"/>
    <mergeCell ref="MXS23:MXW23"/>
    <mergeCell ref="MXX23:MYB23"/>
    <mergeCell ref="MYC23:MYG23"/>
    <mergeCell ref="MYH23:MYL23"/>
    <mergeCell ref="MYM23:MYQ23"/>
    <mergeCell ref="MYR23:MYV23"/>
    <mergeCell ref="MYW23:MZA23"/>
    <mergeCell ref="MZB23:MZF23"/>
    <mergeCell ref="MZG23:MZK23"/>
    <mergeCell ref="MZL23:MZP23"/>
    <mergeCell ref="MZQ23:MZU23"/>
    <mergeCell ref="MZV23:MZZ23"/>
    <mergeCell ref="NAA23:NAE23"/>
    <mergeCell ref="NAF23:NAJ23"/>
    <mergeCell ref="NAK23:NAO23"/>
    <mergeCell ref="NAP23:NAT23"/>
    <mergeCell ref="NAU23:NAY23"/>
    <mergeCell ref="NAZ23:NBD23"/>
    <mergeCell ref="NBE23:NBI23"/>
    <mergeCell ref="NBJ23:NBN23"/>
    <mergeCell ref="NBO23:NBS23"/>
    <mergeCell ref="NBT23:NBX23"/>
    <mergeCell ref="NBY23:NCC23"/>
    <mergeCell ref="NCD23:NCH23"/>
    <mergeCell ref="NCI23:NCM23"/>
    <mergeCell ref="NCN23:NCR23"/>
    <mergeCell ref="NCS23:NCW23"/>
    <mergeCell ref="NCX23:NDB23"/>
    <mergeCell ref="NDC23:NDG23"/>
    <mergeCell ref="NDH23:NDL23"/>
    <mergeCell ref="NDM23:NDQ23"/>
    <mergeCell ref="NDR23:NDV23"/>
    <mergeCell ref="NDW23:NEA23"/>
    <mergeCell ref="NEB23:NEF23"/>
    <mergeCell ref="NEG23:NEK23"/>
    <mergeCell ref="NEL23:NEP23"/>
    <mergeCell ref="NEQ23:NEU23"/>
    <mergeCell ref="NEV23:NEZ23"/>
    <mergeCell ref="NFA23:NFE23"/>
    <mergeCell ref="NFF23:NFJ23"/>
    <mergeCell ref="NFK23:NFO23"/>
    <mergeCell ref="NFP23:NFT23"/>
    <mergeCell ref="NFU23:NFY23"/>
    <mergeCell ref="NFZ23:NGD23"/>
    <mergeCell ref="NGE23:NGI23"/>
    <mergeCell ref="NGJ23:NGN23"/>
    <mergeCell ref="NGO23:NGS23"/>
    <mergeCell ref="NGT23:NGX23"/>
    <mergeCell ref="NGY23:NHC23"/>
    <mergeCell ref="NHD23:NHH23"/>
    <mergeCell ref="NHI23:NHM23"/>
    <mergeCell ref="NHN23:NHR23"/>
    <mergeCell ref="NHS23:NHW23"/>
    <mergeCell ref="NHX23:NIB23"/>
    <mergeCell ref="NIC23:NIG23"/>
    <mergeCell ref="NIH23:NIL23"/>
    <mergeCell ref="NIM23:NIQ23"/>
    <mergeCell ref="NIR23:NIV23"/>
    <mergeCell ref="NIW23:NJA23"/>
    <mergeCell ref="NJB23:NJF23"/>
    <mergeCell ref="NJG23:NJK23"/>
    <mergeCell ref="NJL23:NJP23"/>
    <mergeCell ref="NJQ23:NJU23"/>
    <mergeCell ref="NJV23:NJZ23"/>
    <mergeCell ref="NKA23:NKE23"/>
    <mergeCell ref="NKF23:NKJ23"/>
    <mergeCell ref="NKK23:NKO23"/>
    <mergeCell ref="NKP23:NKT23"/>
    <mergeCell ref="NKU23:NKY23"/>
    <mergeCell ref="NKZ23:NLD23"/>
    <mergeCell ref="NLE23:NLI23"/>
    <mergeCell ref="NLJ23:NLN23"/>
    <mergeCell ref="NLO23:NLS23"/>
    <mergeCell ref="NLT23:NLX23"/>
    <mergeCell ref="NLY23:NMC23"/>
    <mergeCell ref="NMD23:NMH23"/>
    <mergeCell ref="NMI23:NMM23"/>
    <mergeCell ref="NMN23:NMR23"/>
    <mergeCell ref="NMS23:NMW23"/>
    <mergeCell ref="NMX23:NNB23"/>
    <mergeCell ref="NNC23:NNG23"/>
    <mergeCell ref="NNH23:NNL23"/>
    <mergeCell ref="NNM23:NNQ23"/>
    <mergeCell ref="NNR23:NNV23"/>
    <mergeCell ref="NNW23:NOA23"/>
    <mergeCell ref="NOB23:NOF23"/>
    <mergeCell ref="NOG23:NOK23"/>
    <mergeCell ref="NOL23:NOP23"/>
    <mergeCell ref="NOQ23:NOU23"/>
    <mergeCell ref="NOV23:NOZ23"/>
    <mergeCell ref="NPA23:NPE23"/>
    <mergeCell ref="NPF23:NPJ23"/>
    <mergeCell ref="NPK23:NPO23"/>
    <mergeCell ref="NPP23:NPT23"/>
    <mergeCell ref="NPU23:NPY23"/>
    <mergeCell ref="NPZ23:NQD23"/>
    <mergeCell ref="NQE23:NQI23"/>
    <mergeCell ref="NQJ23:NQN23"/>
    <mergeCell ref="NQO23:NQS23"/>
    <mergeCell ref="NQT23:NQX23"/>
    <mergeCell ref="NQY23:NRC23"/>
    <mergeCell ref="NRD23:NRH23"/>
    <mergeCell ref="NRI23:NRM23"/>
    <mergeCell ref="NRN23:NRR23"/>
    <mergeCell ref="NRS23:NRW23"/>
    <mergeCell ref="NRX23:NSB23"/>
    <mergeCell ref="NSC23:NSG23"/>
    <mergeCell ref="NSH23:NSL23"/>
    <mergeCell ref="NSM23:NSQ23"/>
    <mergeCell ref="NSR23:NSV23"/>
    <mergeCell ref="NSW23:NTA23"/>
    <mergeCell ref="NTB23:NTF23"/>
    <mergeCell ref="NTG23:NTK23"/>
    <mergeCell ref="NTL23:NTP23"/>
    <mergeCell ref="NTQ23:NTU23"/>
    <mergeCell ref="NTV23:NTZ23"/>
    <mergeCell ref="NUA23:NUE23"/>
    <mergeCell ref="NUF23:NUJ23"/>
    <mergeCell ref="NUK23:NUO23"/>
    <mergeCell ref="NUP23:NUT23"/>
    <mergeCell ref="NUU23:NUY23"/>
    <mergeCell ref="NUZ23:NVD23"/>
    <mergeCell ref="NVE23:NVI23"/>
    <mergeCell ref="NVJ23:NVN23"/>
    <mergeCell ref="NVO23:NVS23"/>
    <mergeCell ref="NVT23:NVX23"/>
    <mergeCell ref="NVY23:NWC23"/>
    <mergeCell ref="NWD23:NWH23"/>
    <mergeCell ref="NWI23:NWM23"/>
    <mergeCell ref="NWN23:NWR23"/>
    <mergeCell ref="NWS23:NWW23"/>
    <mergeCell ref="NWX23:NXB23"/>
    <mergeCell ref="NXC23:NXG23"/>
    <mergeCell ref="NXH23:NXL23"/>
    <mergeCell ref="NXM23:NXQ23"/>
    <mergeCell ref="NXR23:NXV23"/>
    <mergeCell ref="NXW23:NYA23"/>
    <mergeCell ref="NYB23:NYF23"/>
    <mergeCell ref="NYG23:NYK23"/>
    <mergeCell ref="NYL23:NYP23"/>
    <mergeCell ref="NYQ23:NYU23"/>
    <mergeCell ref="NYV23:NYZ23"/>
    <mergeCell ref="NZA23:NZE23"/>
    <mergeCell ref="NZF23:NZJ23"/>
    <mergeCell ref="NZK23:NZO23"/>
    <mergeCell ref="NZP23:NZT23"/>
    <mergeCell ref="NZU23:NZY23"/>
    <mergeCell ref="NZZ23:OAD23"/>
    <mergeCell ref="OAE23:OAI23"/>
    <mergeCell ref="OAJ23:OAN23"/>
    <mergeCell ref="OAO23:OAS23"/>
    <mergeCell ref="OAT23:OAX23"/>
    <mergeCell ref="OAY23:OBC23"/>
    <mergeCell ref="OBD23:OBH23"/>
    <mergeCell ref="OBI23:OBM23"/>
    <mergeCell ref="OBN23:OBR23"/>
    <mergeCell ref="OBS23:OBW23"/>
    <mergeCell ref="OBX23:OCB23"/>
    <mergeCell ref="OCC23:OCG23"/>
    <mergeCell ref="OCH23:OCL23"/>
    <mergeCell ref="OCM23:OCQ23"/>
    <mergeCell ref="OCR23:OCV23"/>
    <mergeCell ref="OCW23:ODA23"/>
    <mergeCell ref="ODB23:ODF23"/>
    <mergeCell ref="ODG23:ODK23"/>
    <mergeCell ref="ODL23:ODP23"/>
    <mergeCell ref="ODQ23:ODU23"/>
    <mergeCell ref="ODV23:ODZ23"/>
    <mergeCell ref="OEA23:OEE23"/>
    <mergeCell ref="OEF23:OEJ23"/>
    <mergeCell ref="OEK23:OEO23"/>
    <mergeCell ref="OEP23:OET23"/>
    <mergeCell ref="OEU23:OEY23"/>
    <mergeCell ref="OEZ23:OFD23"/>
    <mergeCell ref="OFE23:OFI23"/>
    <mergeCell ref="OFJ23:OFN23"/>
    <mergeCell ref="OFO23:OFS23"/>
    <mergeCell ref="OFT23:OFX23"/>
    <mergeCell ref="OFY23:OGC23"/>
    <mergeCell ref="OGD23:OGH23"/>
    <mergeCell ref="OGI23:OGM23"/>
    <mergeCell ref="OGN23:OGR23"/>
    <mergeCell ref="OGS23:OGW23"/>
    <mergeCell ref="OGX23:OHB23"/>
    <mergeCell ref="OHC23:OHG23"/>
    <mergeCell ref="OHH23:OHL23"/>
    <mergeCell ref="OHM23:OHQ23"/>
    <mergeCell ref="OHR23:OHV23"/>
    <mergeCell ref="OHW23:OIA23"/>
    <mergeCell ref="OIB23:OIF23"/>
    <mergeCell ref="OIG23:OIK23"/>
    <mergeCell ref="OIL23:OIP23"/>
    <mergeCell ref="OIQ23:OIU23"/>
    <mergeCell ref="OIV23:OIZ23"/>
    <mergeCell ref="OJA23:OJE23"/>
    <mergeCell ref="OJF23:OJJ23"/>
    <mergeCell ref="OJK23:OJO23"/>
    <mergeCell ref="OJP23:OJT23"/>
    <mergeCell ref="OJU23:OJY23"/>
    <mergeCell ref="OJZ23:OKD23"/>
    <mergeCell ref="OKE23:OKI23"/>
    <mergeCell ref="OKJ23:OKN23"/>
    <mergeCell ref="OKO23:OKS23"/>
    <mergeCell ref="OKT23:OKX23"/>
    <mergeCell ref="OKY23:OLC23"/>
    <mergeCell ref="OLD23:OLH23"/>
    <mergeCell ref="OLI23:OLM23"/>
    <mergeCell ref="OLN23:OLR23"/>
    <mergeCell ref="OLS23:OLW23"/>
    <mergeCell ref="OLX23:OMB23"/>
    <mergeCell ref="OMC23:OMG23"/>
    <mergeCell ref="OMH23:OML23"/>
    <mergeCell ref="OMM23:OMQ23"/>
    <mergeCell ref="OMR23:OMV23"/>
    <mergeCell ref="OMW23:ONA23"/>
    <mergeCell ref="ONB23:ONF23"/>
    <mergeCell ref="ONG23:ONK23"/>
    <mergeCell ref="ONL23:ONP23"/>
    <mergeCell ref="ONQ23:ONU23"/>
    <mergeCell ref="ONV23:ONZ23"/>
    <mergeCell ref="OOA23:OOE23"/>
    <mergeCell ref="OOF23:OOJ23"/>
    <mergeCell ref="OOK23:OOO23"/>
    <mergeCell ref="OOP23:OOT23"/>
    <mergeCell ref="OOU23:OOY23"/>
    <mergeCell ref="OOZ23:OPD23"/>
    <mergeCell ref="OPE23:OPI23"/>
    <mergeCell ref="OPJ23:OPN23"/>
    <mergeCell ref="OPO23:OPS23"/>
    <mergeCell ref="OPT23:OPX23"/>
    <mergeCell ref="OPY23:OQC23"/>
    <mergeCell ref="OQD23:OQH23"/>
    <mergeCell ref="OQI23:OQM23"/>
    <mergeCell ref="OQN23:OQR23"/>
    <mergeCell ref="OQS23:OQW23"/>
    <mergeCell ref="OQX23:ORB23"/>
    <mergeCell ref="ORC23:ORG23"/>
    <mergeCell ref="ORH23:ORL23"/>
    <mergeCell ref="ORM23:ORQ23"/>
    <mergeCell ref="ORR23:ORV23"/>
    <mergeCell ref="ORW23:OSA23"/>
    <mergeCell ref="OSB23:OSF23"/>
    <mergeCell ref="OSG23:OSK23"/>
    <mergeCell ref="OSL23:OSP23"/>
    <mergeCell ref="OSQ23:OSU23"/>
    <mergeCell ref="OSV23:OSZ23"/>
    <mergeCell ref="OTA23:OTE23"/>
    <mergeCell ref="OTF23:OTJ23"/>
    <mergeCell ref="OTK23:OTO23"/>
    <mergeCell ref="OTP23:OTT23"/>
    <mergeCell ref="OTU23:OTY23"/>
    <mergeCell ref="OTZ23:OUD23"/>
    <mergeCell ref="OUE23:OUI23"/>
    <mergeCell ref="OUJ23:OUN23"/>
    <mergeCell ref="OUO23:OUS23"/>
    <mergeCell ref="OUT23:OUX23"/>
    <mergeCell ref="OUY23:OVC23"/>
    <mergeCell ref="OVD23:OVH23"/>
    <mergeCell ref="OVI23:OVM23"/>
    <mergeCell ref="OVN23:OVR23"/>
    <mergeCell ref="OVS23:OVW23"/>
    <mergeCell ref="OVX23:OWB23"/>
    <mergeCell ref="OWC23:OWG23"/>
    <mergeCell ref="OWH23:OWL23"/>
    <mergeCell ref="OWM23:OWQ23"/>
    <mergeCell ref="OWR23:OWV23"/>
    <mergeCell ref="OWW23:OXA23"/>
    <mergeCell ref="OXB23:OXF23"/>
    <mergeCell ref="OXG23:OXK23"/>
    <mergeCell ref="OXL23:OXP23"/>
    <mergeCell ref="OXQ23:OXU23"/>
    <mergeCell ref="OXV23:OXZ23"/>
    <mergeCell ref="OYA23:OYE23"/>
    <mergeCell ref="OYF23:OYJ23"/>
    <mergeCell ref="OYK23:OYO23"/>
    <mergeCell ref="OYP23:OYT23"/>
    <mergeCell ref="OYU23:OYY23"/>
    <mergeCell ref="OYZ23:OZD23"/>
    <mergeCell ref="OZE23:OZI23"/>
    <mergeCell ref="OZJ23:OZN23"/>
    <mergeCell ref="OZO23:OZS23"/>
    <mergeCell ref="OZT23:OZX23"/>
    <mergeCell ref="OZY23:PAC23"/>
    <mergeCell ref="PAD23:PAH23"/>
    <mergeCell ref="PAI23:PAM23"/>
    <mergeCell ref="PAN23:PAR23"/>
    <mergeCell ref="PAS23:PAW23"/>
    <mergeCell ref="PAX23:PBB23"/>
    <mergeCell ref="PBC23:PBG23"/>
    <mergeCell ref="PBH23:PBL23"/>
    <mergeCell ref="PBM23:PBQ23"/>
    <mergeCell ref="PBR23:PBV23"/>
    <mergeCell ref="PBW23:PCA23"/>
    <mergeCell ref="PCB23:PCF23"/>
    <mergeCell ref="PCG23:PCK23"/>
    <mergeCell ref="PCL23:PCP23"/>
    <mergeCell ref="PCQ23:PCU23"/>
    <mergeCell ref="PCV23:PCZ23"/>
    <mergeCell ref="PDA23:PDE23"/>
    <mergeCell ref="PDF23:PDJ23"/>
    <mergeCell ref="PDK23:PDO23"/>
    <mergeCell ref="PDP23:PDT23"/>
    <mergeCell ref="PDU23:PDY23"/>
    <mergeCell ref="PDZ23:PED23"/>
    <mergeCell ref="PEE23:PEI23"/>
    <mergeCell ref="PEJ23:PEN23"/>
    <mergeCell ref="PEO23:PES23"/>
    <mergeCell ref="PET23:PEX23"/>
    <mergeCell ref="PEY23:PFC23"/>
    <mergeCell ref="PFD23:PFH23"/>
    <mergeCell ref="PFI23:PFM23"/>
    <mergeCell ref="PFN23:PFR23"/>
    <mergeCell ref="PFS23:PFW23"/>
    <mergeCell ref="PFX23:PGB23"/>
    <mergeCell ref="PGC23:PGG23"/>
    <mergeCell ref="PGH23:PGL23"/>
    <mergeCell ref="PGM23:PGQ23"/>
    <mergeCell ref="PGR23:PGV23"/>
    <mergeCell ref="PGW23:PHA23"/>
    <mergeCell ref="PHB23:PHF23"/>
    <mergeCell ref="PHG23:PHK23"/>
    <mergeCell ref="PHL23:PHP23"/>
    <mergeCell ref="PHQ23:PHU23"/>
    <mergeCell ref="PHV23:PHZ23"/>
    <mergeCell ref="PIA23:PIE23"/>
    <mergeCell ref="PIF23:PIJ23"/>
    <mergeCell ref="PIK23:PIO23"/>
    <mergeCell ref="PIP23:PIT23"/>
    <mergeCell ref="PIU23:PIY23"/>
    <mergeCell ref="PIZ23:PJD23"/>
    <mergeCell ref="PJE23:PJI23"/>
    <mergeCell ref="PJJ23:PJN23"/>
    <mergeCell ref="PJO23:PJS23"/>
    <mergeCell ref="PJT23:PJX23"/>
    <mergeCell ref="PJY23:PKC23"/>
    <mergeCell ref="PKD23:PKH23"/>
    <mergeCell ref="PKI23:PKM23"/>
    <mergeCell ref="PKN23:PKR23"/>
    <mergeCell ref="PKS23:PKW23"/>
    <mergeCell ref="PKX23:PLB23"/>
    <mergeCell ref="PLC23:PLG23"/>
    <mergeCell ref="PLH23:PLL23"/>
    <mergeCell ref="PLM23:PLQ23"/>
    <mergeCell ref="PLR23:PLV23"/>
    <mergeCell ref="PLW23:PMA23"/>
    <mergeCell ref="PMB23:PMF23"/>
    <mergeCell ref="PMG23:PMK23"/>
    <mergeCell ref="PML23:PMP23"/>
    <mergeCell ref="PMQ23:PMU23"/>
    <mergeCell ref="PMV23:PMZ23"/>
    <mergeCell ref="PNA23:PNE23"/>
    <mergeCell ref="PNF23:PNJ23"/>
    <mergeCell ref="PNK23:PNO23"/>
    <mergeCell ref="PNP23:PNT23"/>
    <mergeCell ref="PNU23:PNY23"/>
    <mergeCell ref="PNZ23:POD23"/>
    <mergeCell ref="POE23:POI23"/>
    <mergeCell ref="POJ23:PON23"/>
    <mergeCell ref="POO23:POS23"/>
    <mergeCell ref="POT23:POX23"/>
    <mergeCell ref="POY23:PPC23"/>
    <mergeCell ref="PPD23:PPH23"/>
    <mergeCell ref="PPI23:PPM23"/>
    <mergeCell ref="PPN23:PPR23"/>
    <mergeCell ref="PPS23:PPW23"/>
    <mergeCell ref="PPX23:PQB23"/>
    <mergeCell ref="PQC23:PQG23"/>
    <mergeCell ref="PQH23:PQL23"/>
    <mergeCell ref="PQM23:PQQ23"/>
    <mergeCell ref="PQR23:PQV23"/>
    <mergeCell ref="PQW23:PRA23"/>
    <mergeCell ref="PRB23:PRF23"/>
    <mergeCell ref="PRG23:PRK23"/>
    <mergeCell ref="PRL23:PRP23"/>
    <mergeCell ref="PRQ23:PRU23"/>
    <mergeCell ref="PRV23:PRZ23"/>
    <mergeCell ref="PSA23:PSE23"/>
    <mergeCell ref="PSF23:PSJ23"/>
    <mergeCell ref="PSK23:PSO23"/>
    <mergeCell ref="PSP23:PST23"/>
    <mergeCell ref="PSU23:PSY23"/>
    <mergeCell ref="PSZ23:PTD23"/>
    <mergeCell ref="PTE23:PTI23"/>
    <mergeCell ref="PTJ23:PTN23"/>
    <mergeCell ref="PTO23:PTS23"/>
    <mergeCell ref="PTT23:PTX23"/>
    <mergeCell ref="PTY23:PUC23"/>
    <mergeCell ref="PUD23:PUH23"/>
    <mergeCell ref="PUI23:PUM23"/>
    <mergeCell ref="PUN23:PUR23"/>
    <mergeCell ref="PUS23:PUW23"/>
    <mergeCell ref="PUX23:PVB23"/>
    <mergeCell ref="PVC23:PVG23"/>
    <mergeCell ref="PVH23:PVL23"/>
    <mergeCell ref="PVM23:PVQ23"/>
    <mergeCell ref="PVR23:PVV23"/>
    <mergeCell ref="PVW23:PWA23"/>
    <mergeCell ref="PWB23:PWF23"/>
    <mergeCell ref="PWG23:PWK23"/>
    <mergeCell ref="PWL23:PWP23"/>
    <mergeCell ref="PWQ23:PWU23"/>
    <mergeCell ref="PWV23:PWZ23"/>
    <mergeCell ref="PXA23:PXE23"/>
    <mergeCell ref="PXF23:PXJ23"/>
    <mergeCell ref="PXK23:PXO23"/>
    <mergeCell ref="PXP23:PXT23"/>
    <mergeCell ref="PXU23:PXY23"/>
    <mergeCell ref="PXZ23:PYD23"/>
    <mergeCell ref="PYE23:PYI23"/>
    <mergeCell ref="PYJ23:PYN23"/>
    <mergeCell ref="PYO23:PYS23"/>
    <mergeCell ref="PYT23:PYX23"/>
    <mergeCell ref="PYY23:PZC23"/>
    <mergeCell ref="PZD23:PZH23"/>
    <mergeCell ref="PZI23:PZM23"/>
    <mergeCell ref="PZN23:PZR23"/>
    <mergeCell ref="PZS23:PZW23"/>
    <mergeCell ref="PZX23:QAB23"/>
    <mergeCell ref="QAC23:QAG23"/>
    <mergeCell ref="QAH23:QAL23"/>
    <mergeCell ref="QAM23:QAQ23"/>
    <mergeCell ref="QAR23:QAV23"/>
    <mergeCell ref="QAW23:QBA23"/>
    <mergeCell ref="QBB23:QBF23"/>
    <mergeCell ref="QBG23:QBK23"/>
    <mergeCell ref="QBL23:QBP23"/>
    <mergeCell ref="QBQ23:QBU23"/>
    <mergeCell ref="QBV23:QBZ23"/>
    <mergeCell ref="QCA23:QCE23"/>
    <mergeCell ref="QCF23:QCJ23"/>
    <mergeCell ref="QCK23:QCO23"/>
    <mergeCell ref="QCP23:QCT23"/>
    <mergeCell ref="QCU23:QCY23"/>
    <mergeCell ref="QCZ23:QDD23"/>
    <mergeCell ref="QDE23:QDI23"/>
    <mergeCell ref="QDJ23:QDN23"/>
    <mergeCell ref="QDO23:QDS23"/>
    <mergeCell ref="QDT23:QDX23"/>
    <mergeCell ref="QDY23:QEC23"/>
    <mergeCell ref="QED23:QEH23"/>
    <mergeCell ref="QEI23:QEM23"/>
    <mergeCell ref="QEN23:QER23"/>
    <mergeCell ref="QES23:QEW23"/>
    <mergeCell ref="QEX23:QFB23"/>
    <mergeCell ref="QFC23:QFG23"/>
    <mergeCell ref="QFH23:QFL23"/>
    <mergeCell ref="QFM23:QFQ23"/>
    <mergeCell ref="QFR23:QFV23"/>
    <mergeCell ref="QFW23:QGA23"/>
    <mergeCell ref="QGB23:QGF23"/>
    <mergeCell ref="QGG23:QGK23"/>
    <mergeCell ref="QGL23:QGP23"/>
    <mergeCell ref="QGQ23:QGU23"/>
    <mergeCell ref="QGV23:QGZ23"/>
    <mergeCell ref="QHA23:QHE23"/>
    <mergeCell ref="QHF23:QHJ23"/>
    <mergeCell ref="QHK23:QHO23"/>
    <mergeCell ref="QHP23:QHT23"/>
    <mergeCell ref="QHU23:QHY23"/>
    <mergeCell ref="QHZ23:QID23"/>
    <mergeCell ref="QIE23:QII23"/>
    <mergeCell ref="QIJ23:QIN23"/>
    <mergeCell ref="QIO23:QIS23"/>
    <mergeCell ref="QIT23:QIX23"/>
    <mergeCell ref="QIY23:QJC23"/>
    <mergeCell ref="QJD23:QJH23"/>
    <mergeCell ref="QJI23:QJM23"/>
    <mergeCell ref="QJN23:QJR23"/>
    <mergeCell ref="QJS23:QJW23"/>
    <mergeCell ref="QJX23:QKB23"/>
    <mergeCell ref="QKC23:QKG23"/>
    <mergeCell ref="QKH23:QKL23"/>
    <mergeCell ref="QKM23:QKQ23"/>
    <mergeCell ref="QKR23:QKV23"/>
    <mergeCell ref="QKW23:QLA23"/>
    <mergeCell ref="QLB23:QLF23"/>
    <mergeCell ref="QLG23:QLK23"/>
    <mergeCell ref="QLL23:QLP23"/>
    <mergeCell ref="QLQ23:QLU23"/>
    <mergeCell ref="QLV23:QLZ23"/>
    <mergeCell ref="QMA23:QME23"/>
    <mergeCell ref="QMF23:QMJ23"/>
    <mergeCell ref="QMK23:QMO23"/>
    <mergeCell ref="QMP23:QMT23"/>
    <mergeCell ref="QMU23:QMY23"/>
    <mergeCell ref="QMZ23:QND23"/>
    <mergeCell ref="QNE23:QNI23"/>
    <mergeCell ref="QNJ23:QNN23"/>
    <mergeCell ref="QNO23:QNS23"/>
    <mergeCell ref="QNT23:QNX23"/>
    <mergeCell ref="QNY23:QOC23"/>
    <mergeCell ref="QOD23:QOH23"/>
    <mergeCell ref="QOI23:QOM23"/>
    <mergeCell ref="QON23:QOR23"/>
    <mergeCell ref="QOS23:QOW23"/>
    <mergeCell ref="QOX23:QPB23"/>
    <mergeCell ref="QPC23:QPG23"/>
    <mergeCell ref="QPH23:QPL23"/>
    <mergeCell ref="QPM23:QPQ23"/>
    <mergeCell ref="QPR23:QPV23"/>
    <mergeCell ref="QPW23:QQA23"/>
    <mergeCell ref="QQB23:QQF23"/>
    <mergeCell ref="QQG23:QQK23"/>
    <mergeCell ref="QQL23:QQP23"/>
    <mergeCell ref="QQQ23:QQU23"/>
    <mergeCell ref="QQV23:QQZ23"/>
    <mergeCell ref="QRA23:QRE23"/>
    <mergeCell ref="QRF23:QRJ23"/>
    <mergeCell ref="QRK23:QRO23"/>
    <mergeCell ref="QRP23:QRT23"/>
    <mergeCell ref="QRU23:QRY23"/>
    <mergeCell ref="QRZ23:QSD23"/>
    <mergeCell ref="QSE23:QSI23"/>
    <mergeCell ref="QSJ23:QSN23"/>
    <mergeCell ref="QSO23:QSS23"/>
    <mergeCell ref="QST23:QSX23"/>
    <mergeCell ref="QSY23:QTC23"/>
    <mergeCell ref="QTD23:QTH23"/>
    <mergeCell ref="QTI23:QTM23"/>
    <mergeCell ref="QTN23:QTR23"/>
    <mergeCell ref="QTS23:QTW23"/>
    <mergeCell ref="QTX23:QUB23"/>
    <mergeCell ref="QUC23:QUG23"/>
    <mergeCell ref="QUH23:QUL23"/>
    <mergeCell ref="QUM23:QUQ23"/>
    <mergeCell ref="QUR23:QUV23"/>
    <mergeCell ref="QUW23:QVA23"/>
    <mergeCell ref="QVB23:QVF23"/>
    <mergeCell ref="QVG23:QVK23"/>
    <mergeCell ref="QVL23:QVP23"/>
    <mergeCell ref="QVQ23:QVU23"/>
    <mergeCell ref="QVV23:QVZ23"/>
    <mergeCell ref="QWA23:QWE23"/>
    <mergeCell ref="QWF23:QWJ23"/>
    <mergeCell ref="QWK23:QWO23"/>
    <mergeCell ref="QWP23:QWT23"/>
    <mergeCell ref="QWU23:QWY23"/>
    <mergeCell ref="QWZ23:QXD23"/>
    <mergeCell ref="QXE23:QXI23"/>
    <mergeCell ref="QXJ23:QXN23"/>
    <mergeCell ref="QXO23:QXS23"/>
    <mergeCell ref="QXT23:QXX23"/>
    <mergeCell ref="QXY23:QYC23"/>
    <mergeCell ref="QYD23:QYH23"/>
    <mergeCell ref="QYI23:QYM23"/>
    <mergeCell ref="QYN23:QYR23"/>
    <mergeCell ref="QYS23:QYW23"/>
    <mergeCell ref="QYX23:QZB23"/>
    <mergeCell ref="QZC23:QZG23"/>
    <mergeCell ref="QZH23:QZL23"/>
    <mergeCell ref="QZM23:QZQ23"/>
    <mergeCell ref="QZR23:QZV23"/>
    <mergeCell ref="QZW23:RAA23"/>
    <mergeCell ref="RAB23:RAF23"/>
    <mergeCell ref="RAG23:RAK23"/>
    <mergeCell ref="RAL23:RAP23"/>
    <mergeCell ref="RAQ23:RAU23"/>
    <mergeCell ref="RAV23:RAZ23"/>
    <mergeCell ref="RBA23:RBE23"/>
    <mergeCell ref="RBF23:RBJ23"/>
    <mergeCell ref="RBK23:RBO23"/>
    <mergeCell ref="RBP23:RBT23"/>
    <mergeCell ref="RBU23:RBY23"/>
    <mergeCell ref="RBZ23:RCD23"/>
    <mergeCell ref="RCE23:RCI23"/>
    <mergeCell ref="RCJ23:RCN23"/>
    <mergeCell ref="RCO23:RCS23"/>
    <mergeCell ref="RCT23:RCX23"/>
    <mergeCell ref="RCY23:RDC23"/>
    <mergeCell ref="RDD23:RDH23"/>
    <mergeCell ref="RDI23:RDM23"/>
    <mergeCell ref="RDN23:RDR23"/>
    <mergeCell ref="RDS23:RDW23"/>
    <mergeCell ref="RDX23:REB23"/>
    <mergeCell ref="REC23:REG23"/>
    <mergeCell ref="REH23:REL23"/>
    <mergeCell ref="REM23:REQ23"/>
    <mergeCell ref="RER23:REV23"/>
    <mergeCell ref="REW23:RFA23"/>
    <mergeCell ref="RFB23:RFF23"/>
    <mergeCell ref="RFG23:RFK23"/>
    <mergeCell ref="RFL23:RFP23"/>
    <mergeCell ref="RFQ23:RFU23"/>
    <mergeCell ref="RFV23:RFZ23"/>
    <mergeCell ref="RGA23:RGE23"/>
    <mergeCell ref="RGF23:RGJ23"/>
    <mergeCell ref="RGK23:RGO23"/>
    <mergeCell ref="RGP23:RGT23"/>
    <mergeCell ref="RGU23:RGY23"/>
    <mergeCell ref="RGZ23:RHD23"/>
    <mergeCell ref="RHE23:RHI23"/>
    <mergeCell ref="RHJ23:RHN23"/>
    <mergeCell ref="RHO23:RHS23"/>
    <mergeCell ref="RHT23:RHX23"/>
    <mergeCell ref="RHY23:RIC23"/>
    <mergeCell ref="RID23:RIH23"/>
    <mergeCell ref="RII23:RIM23"/>
    <mergeCell ref="RIN23:RIR23"/>
    <mergeCell ref="RIS23:RIW23"/>
    <mergeCell ref="RIX23:RJB23"/>
    <mergeCell ref="RJC23:RJG23"/>
    <mergeCell ref="RJH23:RJL23"/>
    <mergeCell ref="RJM23:RJQ23"/>
    <mergeCell ref="RJR23:RJV23"/>
    <mergeCell ref="RJW23:RKA23"/>
    <mergeCell ref="RKB23:RKF23"/>
    <mergeCell ref="RKG23:RKK23"/>
    <mergeCell ref="RKL23:RKP23"/>
    <mergeCell ref="RKQ23:RKU23"/>
    <mergeCell ref="RKV23:RKZ23"/>
    <mergeCell ref="RLA23:RLE23"/>
    <mergeCell ref="RLF23:RLJ23"/>
    <mergeCell ref="RLK23:RLO23"/>
    <mergeCell ref="RLP23:RLT23"/>
    <mergeCell ref="RLU23:RLY23"/>
    <mergeCell ref="RLZ23:RMD23"/>
    <mergeCell ref="RME23:RMI23"/>
    <mergeCell ref="RMJ23:RMN23"/>
    <mergeCell ref="RMO23:RMS23"/>
    <mergeCell ref="RMT23:RMX23"/>
    <mergeCell ref="RMY23:RNC23"/>
    <mergeCell ref="RND23:RNH23"/>
    <mergeCell ref="RNI23:RNM23"/>
    <mergeCell ref="RNN23:RNR23"/>
    <mergeCell ref="RNS23:RNW23"/>
    <mergeCell ref="RNX23:ROB23"/>
    <mergeCell ref="ROC23:ROG23"/>
    <mergeCell ref="ROH23:ROL23"/>
    <mergeCell ref="ROM23:ROQ23"/>
    <mergeCell ref="ROR23:ROV23"/>
    <mergeCell ref="ROW23:RPA23"/>
    <mergeCell ref="RPB23:RPF23"/>
    <mergeCell ref="RPG23:RPK23"/>
    <mergeCell ref="RPL23:RPP23"/>
    <mergeCell ref="RPQ23:RPU23"/>
    <mergeCell ref="RPV23:RPZ23"/>
    <mergeCell ref="RQA23:RQE23"/>
    <mergeCell ref="RQF23:RQJ23"/>
    <mergeCell ref="RQK23:RQO23"/>
    <mergeCell ref="RQP23:RQT23"/>
    <mergeCell ref="RQU23:RQY23"/>
    <mergeCell ref="RQZ23:RRD23"/>
    <mergeCell ref="RRE23:RRI23"/>
    <mergeCell ref="RRJ23:RRN23"/>
    <mergeCell ref="RRO23:RRS23"/>
    <mergeCell ref="RRT23:RRX23"/>
    <mergeCell ref="RRY23:RSC23"/>
    <mergeCell ref="RSD23:RSH23"/>
    <mergeCell ref="RSI23:RSM23"/>
    <mergeCell ref="RSN23:RSR23"/>
    <mergeCell ref="RSS23:RSW23"/>
    <mergeCell ref="RSX23:RTB23"/>
    <mergeCell ref="RTC23:RTG23"/>
    <mergeCell ref="RTH23:RTL23"/>
    <mergeCell ref="RTM23:RTQ23"/>
    <mergeCell ref="RTR23:RTV23"/>
    <mergeCell ref="RTW23:RUA23"/>
    <mergeCell ref="RUB23:RUF23"/>
    <mergeCell ref="RUG23:RUK23"/>
    <mergeCell ref="RUL23:RUP23"/>
    <mergeCell ref="RUQ23:RUU23"/>
    <mergeCell ref="RUV23:RUZ23"/>
    <mergeCell ref="RVA23:RVE23"/>
    <mergeCell ref="RVF23:RVJ23"/>
    <mergeCell ref="RVK23:RVO23"/>
    <mergeCell ref="RVP23:RVT23"/>
    <mergeCell ref="RVU23:RVY23"/>
    <mergeCell ref="RVZ23:RWD23"/>
    <mergeCell ref="RWE23:RWI23"/>
    <mergeCell ref="RWJ23:RWN23"/>
    <mergeCell ref="RWO23:RWS23"/>
    <mergeCell ref="RWT23:RWX23"/>
    <mergeCell ref="RWY23:RXC23"/>
    <mergeCell ref="RXD23:RXH23"/>
    <mergeCell ref="RXI23:RXM23"/>
    <mergeCell ref="RXN23:RXR23"/>
    <mergeCell ref="RXS23:RXW23"/>
    <mergeCell ref="RXX23:RYB23"/>
    <mergeCell ref="RYC23:RYG23"/>
    <mergeCell ref="RYH23:RYL23"/>
    <mergeCell ref="RYM23:RYQ23"/>
    <mergeCell ref="RYR23:RYV23"/>
    <mergeCell ref="RYW23:RZA23"/>
    <mergeCell ref="RZB23:RZF23"/>
    <mergeCell ref="RZG23:RZK23"/>
    <mergeCell ref="RZL23:RZP23"/>
    <mergeCell ref="RZQ23:RZU23"/>
    <mergeCell ref="RZV23:RZZ23"/>
    <mergeCell ref="SAA23:SAE23"/>
    <mergeCell ref="SAF23:SAJ23"/>
    <mergeCell ref="SAK23:SAO23"/>
    <mergeCell ref="SAP23:SAT23"/>
    <mergeCell ref="SAU23:SAY23"/>
    <mergeCell ref="SAZ23:SBD23"/>
    <mergeCell ref="SBE23:SBI23"/>
    <mergeCell ref="SBJ23:SBN23"/>
    <mergeCell ref="SBO23:SBS23"/>
    <mergeCell ref="SBT23:SBX23"/>
    <mergeCell ref="SBY23:SCC23"/>
    <mergeCell ref="SCD23:SCH23"/>
    <mergeCell ref="SCI23:SCM23"/>
    <mergeCell ref="SCN23:SCR23"/>
    <mergeCell ref="SCS23:SCW23"/>
    <mergeCell ref="SCX23:SDB23"/>
    <mergeCell ref="SDC23:SDG23"/>
    <mergeCell ref="SDH23:SDL23"/>
    <mergeCell ref="SDM23:SDQ23"/>
    <mergeCell ref="SDR23:SDV23"/>
    <mergeCell ref="SDW23:SEA23"/>
    <mergeCell ref="SEB23:SEF23"/>
    <mergeCell ref="SEG23:SEK23"/>
    <mergeCell ref="SEL23:SEP23"/>
    <mergeCell ref="SEQ23:SEU23"/>
    <mergeCell ref="SEV23:SEZ23"/>
    <mergeCell ref="SFA23:SFE23"/>
    <mergeCell ref="SFF23:SFJ23"/>
    <mergeCell ref="SFK23:SFO23"/>
    <mergeCell ref="SFP23:SFT23"/>
    <mergeCell ref="SFU23:SFY23"/>
    <mergeCell ref="SFZ23:SGD23"/>
    <mergeCell ref="SGE23:SGI23"/>
    <mergeCell ref="SGJ23:SGN23"/>
    <mergeCell ref="SGO23:SGS23"/>
    <mergeCell ref="SGT23:SGX23"/>
    <mergeCell ref="SGY23:SHC23"/>
    <mergeCell ref="SHD23:SHH23"/>
    <mergeCell ref="SHI23:SHM23"/>
    <mergeCell ref="SHN23:SHR23"/>
    <mergeCell ref="SHS23:SHW23"/>
    <mergeCell ref="SHX23:SIB23"/>
    <mergeCell ref="SIC23:SIG23"/>
    <mergeCell ref="SIH23:SIL23"/>
    <mergeCell ref="SIM23:SIQ23"/>
    <mergeCell ref="SIR23:SIV23"/>
    <mergeCell ref="SIW23:SJA23"/>
    <mergeCell ref="SJB23:SJF23"/>
    <mergeCell ref="SJG23:SJK23"/>
    <mergeCell ref="SJL23:SJP23"/>
    <mergeCell ref="SJQ23:SJU23"/>
    <mergeCell ref="SJV23:SJZ23"/>
    <mergeCell ref="SKA23:SKE23"/>
    <mergeCell ref="SKF23:SKJ23"/>
    <mergeCell ref="SKK23:SKO23"/>
    <mergeCell ref="SKP23:SKT23"/>
    <mergeCell ref="SKU23:SKY23"/>
    <mergeCell ref="SKZ23:SLD23"/>
    <mergeCell ref="SLE23:SLI23"/>
    <mergeCell ref="SLJ23:SLN23"/>
    <mergeCell ref="SLO23:SLS23"/>
    <mergeCell ref="SLT23:SLX23"/>
    <mergeCell ref="SLY23:SMC23"/>
    <mergeCell ref="SMD23:SMH23"/>
    <mergeCell ref="SMI23:SMM23"/>
    <mergeCell ref="SMN23:SMR23"/>
    <mergeCell ref="SMS23:SMW23"/>
    <mergeCell ref="SMX23:SNB23"/>
    <mergeCell ref="SNC23:SNG23"/>
    <mergeCell ref="SNH23:SNL23"/>
    <mergeCell ref="SNM23:SNQ23"/>
    <mergeCell ref="SNR23:SNV23"/>
    <mergeCell ref="SNW23:SOA23"/>
    <mergeCell ref="SOB23:SOF23"/>
    <mergeCell ref="SOG23:SOK23"/>
    <mergeCell ref="SOL23:SOP23"/>
    <mergeCell ref="SOQ23:SOU23"/>
    <mergeCell ref="SOV23:SOZ23"/>
    <mergeCell ref="SPA23:SPE23"/>
    <mergeCell ref="SPF23:SPJ23"/>
    <mergeCell ref="SPK23:SPO23"/>
    <mergeCell ref="SPP23:SPT23"/>
    <mergeCell ref="SPU23:SPY23"/>
    <mergeCell ref="SPZ23:SQD23"/>
    <mergeCell ref="SQE23:SQI23"/>
    <mergeCell ref="SQJ23:SQN23"/>
    <mergeCell ref="SQO23:SQS23"/>
    <mergeCell ref="SQT23:SQX23"/>
    <mergeCell ref="SQY23:SRC23"/>
    <mergeCell ref="SRD23:SRH23"/>
    <mergeCell ref="SRI23:SRM23"/>
    <mergeCell ref="SRN23:SRR23"/>
    <mergeCell ref="SRS23:SRW23"/>
    <mergeCell ref="SRX23:SSB23"/>
    <mergeCell ref="SSC23:SSG23"/>
    <mergeCell ref="SSH23:SSL23"/>
    <mergeCell ref="SSM23:SSQ23"/>
    <mergeCell ref="SSR23:SSV23"/>
    <mergeCell ref="SSW23:STA23"/>
    <mergeCell ref="STB23:STF23"/>
    <mergeCell ref="STG23:STK23"/>
    <mergeCell ref="STL23:STP23"/>
    <mergeCell ref="STQ23:STU23"/>
    <mergeCell ref="STV23:STZ23"/>
    <mergeCell ref="SUA23:SUE23"/>
    <mergeCell ref="SUF23:SUJ23"/>
    <mergeCell ref="SUK23:SUO23"/>
    <mergeCell ref="SUP23:SUT23"/>
    <mergeCell ref="SUU23:SUY23"/>
    <mergeCell ref="SUZ23:SVD23"/>
    <mergeCell ref="SVE23:SVI23"/>
    <mergeCell ref="SVJ23:SVN23"/>
    <mergeCell ref="SVO23:SVS23"/>
    <mergeCell ref="SVT23:SVX23"/>
    <mergeCell ref="SVY23:SWC23"/>
    <mergeCell ref="SWD23:SWH23"/>
    <mergeCell ref="SWI23:SWM23"/>
    <mergeCell ref="SWN23:SWR23"/>
    <mergeCell ref="SWS23:SWW23"/>
    <mergeCell ref="SWX23:SXB23"/>
    <mergeCell ref="SXC23:SXG23"/>
    <mergeCell ref="SXH23:SXL23"/>
    <mergeCell ref="SXM23:SXQ23"/>
    <mergeCell ref="SXR23:SXV23"/>
    <mergeCell ref="SXW23:SYA23"/>
    <mergeCell ref="SYB23:SYF23"/>
    <mergeCell ref="SYG23:SYK23"/>
    <mergeCell ref="SYL23:SYP23"/>
    <mergeCell ref="SYQ23:SYU23"/>
    <mergeCell ref="SYV23:SYZ23"/>
    <mergeCell ref="SZA23:SZE23"/>
    <mergeCell ref="SZF23:SZJ23"/>
    <mergeCell ref="SZK23:SZO23"/>
    <mergeCell ref="SZP23:SZT23"/>
    <mergeCell ref="SZU23:SZY23"/>
    <mergeCell ref="SZZ23:TAD23"/>
    <mergeCell ref="TAE23:TAI23"/>
    <mergeCell ref="TAJ23:TAN23"/>
    <mergeCell ref="TAO23:TAS23"/>
    <mergeCell ref="TAT23:TAX23"/>
    <mergeCell ref="TAY23:TBC23"/>
    <mergeCell ref="TBD23:TBH23"/>
    <mergeCell ref="TBI23:TBM23"/>
    <mergeCell ref="TBN23:TBR23"/>
    <mergeCell ref="TBS23:TBW23"/>
    <mergeCell ref="TBX23:TCB23"/>
    <mergeCell ref="TCC23:TCG23"/>
    <mergeCell ref="TCH23:TCL23"/>
    <mergeCell ref="TCM23:TCQ23"/>
    <mergeCell ref="TCR23:TCV23"/>
    <mergeCell ref="TCW23:TDA23"/>
    <mergeCell ref="TDB23:TDF23"/>
    <mergeCell ref="TDG23:TDK23"/>
    <mergeCell ref="TDL23:TDP23"/>
    <mergeCell ref="TDQ23:TDU23"/>
    <mergeCell ref="TDV23:TDZ23"/>
    <mergeCell ref="TEA23:TEE23"/>
    <mergeCell ref="TEF23:TEJ23"/>
    <mergeCell ref="TEK23:TEO23"/>
    <mergeCell ref="TEP23:TET23"/>
    <mergeCell ref="TEU23:TEY23"/>
    <mergeCell ref="TEZ23:TFD23"/>
    <mergeCell ref="TFE23:TFI23"/>
    <mergeCell ref="TFJ23:TFN23"/>
    <mergeCell ref="TFO23:TFS23"/>
    <mergeCell ref="TFT23:TFX23"/>
    <mergeCell ref="TFY23:TGC23"/>
    <mergeCell ref="TGD23:TGH23"/>
    <mergeCell ref="TGI23:TGM23"/>
    <mergeCell ref="TGN23:TGR23"/>
    <mergeCell ref="TGS23:TGW23"/>
    <mergeCell ref="TGX23:THB23"/>
    <mergeCell ref="THC23:THG23"/>
    <mergeCell ref="THH23:THL23"/>
    <mergeCell ref="THM23:THQ23"/>
    <mergeCell ref="THR23:THV23"/>
    <mergeCell ref="THW23:TIA23"/>
    <mergeCell ref="TIB23:TIF23"/>
    <mergeCell ref="TIG23:TIK23"/>
    <mergeCell ref="TIL23:TIP23"/>
    <mergeCell ref="TIQ23:TIU23"/>
    <mergeCell ref="TIV23:TIZ23"/>
    <mergeCell ref="TJA23:TJE23"/>
    <mergeCell ref="TJF23:TJJ23"/>
    <mergeCell ref="TJK23:TJO23"/>
    <mergeCell ref="TJP23:TJT23"/>
    <mergeCell ref="TJU23:TJY23"/>
    <mergeCell ref="TJZ23:TKD23"/>
    <mergeCell ref="TKE23:TKI23"/>
    <mergeCell ref="TKJ23:TKN23"/>
    <mergeCell ref="TKO23:TKS23"/>
    <mergeCell ref="TKT23:TKX23"/>
    <mergeCell ref="TKY23:TLC23"/>
    <mergeCell ref="TLD23:TLH23"/>
    <mergeCell ref="TLI23:TLM23"/>
    <mergeCell ref="TLN23:TLR23"/>
    <mergeCell ref="TLS23:TLW23"/>
    <mergeCell ref="TLX23:TMB23"/>
    <mergeCell ref="TMC23:TMG23"/>
    <mergeCell ref="TMH23:TML23"/>
    <mergeCell ref="TMM23:TMQ23"/>
    <mergeCell ref="TMR23:TMV23"/>
    <mergeCell ref="TMW23:TNA23"/>
    <mergeCell ref="TNB23:TNF23"/>
    <mergeCell ref="TNG23:TNK23"/>
    <mergeCell ref="TNL23:TNP23"/>
    <mergeCell ref="TNQ23:TNU23"/>
    <mergeCell ref="TNV23:TNZ23"/>
    <mergeCell ref="TOA23:TOE23"/>
    <mergeCell ref="TOF23:TOJ23"/>
    <mergeCell ref="TOK23:TOO23"/>
    <mergeCell ref="TOP23:TOT23"/>
    <mergeCell ref="TOU23:TOY23"/>
    <mergeCell ref="TOZ23:TPD23"/>
    <mergeCell ref="TPE23:TPI23"/>
    <mergeCell ref="TPJ23:TPN23"/>
    <mergeCell ref="TPO23:TPS23"/>
    <mergeCell ref="TPT23:TPX23"/>
    <mergeCell ref="TPY23:TQC23"/>
    <mergeCell ref="TQD23:TQH23"/>
    <mergeCell ref="TQI23:TQM23"/>
    <mergeCell ref="TQN23:TQR23"/>
    <mergeCell ref="TQS23:TQW23"/>
    <mergeCell ref="TQX23:TRB23"/>
    <mergeCell ref="TRC23:TRG23"/>
    <mergeCell ref="TRH23:TRL23"/>
    <mergeCell ref="TRM23:TRQ23"/>
    <mergeCell ref="TRR23:TRV23"/>
    <mergeCell ref="TRW23:TSA23"/>
    <mergeCell ref="TSB23:TSF23"/>
    <mergeCell ref="TSG23:TSK23"/>
    <mergeCell ref="TSL23:TSP23"/>
    <mergeCell ref="TSQ23:TSU23"/>
    <mergeCell ref="TSV23:TSZ23"/>
    <mergeCell ref="TTA23:TTE23"/>
    <mergeCell ref="TTF23:TTJ23"/>
    <mergeCell ref="TTK23:TTO23"/>
    <mergeCell ref="TTP23:TTT23"/>
    <mergeCell ref="TTU23:TTY23"/>
    <mergeCell ref="TTZ23:TUD23"/>
    <mergeCell ref="TUE23:TUI23"/>
    <mergeCell ref="TUJ23:TUN23"/>
    <mergeCell ref="TUO23:TUS23"/>
    <mergeCell ref="TUT23:TUX23"/>
    <mergeCell ref="TUY23:TVC23"/>
    <mergeCell ref="TVD23:TVH23"/>
    <mergeCell ref="TVI23:TVM23"/>
    <mergeCell ref="TVN23:TVR23"/>
    <mergeCell ref="TVS23:TVW23"/>
    <mergeCell ref="TVX23:TWB23"/>
    <mergeCell ref="TWC23:TWG23"/>
    <mergeCell ref="TWH23:TWL23"/>
    <mergeCell ref="TWM23:TWQ23"/>
    <mergeCell ref="TWR23:TWV23"/>
    <mergeCell ref="TWW23:TXA23"/>
    <mergeCell ref="TXB23:TXF23"/>
    <mergeCell ref="TXG23:TXK23"/>
    <mergeCell ref="TXL23:TXP23"/>
    <mergeCell ref="TXQ23:TXU23"/>
    <mergeCell ref="TXV23:TXZ23"/>
    <mergeCell ref="TYA23:TYE23"/>
    <mergeCell ref="TYF23:TYJ23"/>
    <mergeCell ref="TYK23:TYO23"/>
    <mergeCell ref="TYP23:TYT23"/>
    <mergeCell ref="TYU23:TYY23"/>
    <mergeCell ref="TYZ23:TZD23"/>
    <mergeCell ref="TZE23:TZI23"/>
    <mergeCell ref="TZJ23:TZN23"/>
    <mergeCell ref="TZO23:TZS23"/>
    <mergeCell ref="TZT23:TZX23"/>
    <mergeCell ref="TZY23:UAC23"/>
    <mergeCell ref="UAD23:UAH23"/>
    <mergeCell ref="UAI23:UAM23"/>
    <mergeCell ref="UAN23:UAR23"/>
    <mergeCell ref="UAS23:UAW23"/>
    <mergeCell ref="UAX23:UBB23"/>
    <mergeCell ref="UBC23:UBG23"/>
    <mergeCell ref="UBH23:UBL23"/>
    <mergeCell ref="UBM23:UBQ23"/>
    <mergeCell ref="UBR23:UBV23"/>
    <mergeCell ref="UBW23:UCA23"/>
    <mergeCell ref="UCB23:UCF23"/>
    <mergeCell ref="UCG23:UCK23"/>
    <mergeCell ref="UCL23:UCP23"/>
    <mergeCell ref="UCQ23:UCU23"/>
    <mergeCell ref="UCV23:UCZ23"/>
    <mergeCell ref="UDA23:UDE23"/>
    <mergeCell ref="UDF23:UDJ23"/>
    <mergeCell ref="UDK23:UDO23"/>
    <mergeCell ref="UDP23:UDT23"/>
    <mergeCell ref="UDU23:UDY23"/>
    <mergeCell ref="UDZ23:UED23"/>
    <mergeCell ref="UEE23:UEI23"/>
    <mergeCell ref="UEJ23:UEN23"/>
    <mergeCell ref="UEO23:UES23"/>
    <mergeCell ref="UET23:UEX23"/>
    <mergeCell ref="UEY23:UFC23"/>
    <mergeCell ref="UFD23:UFH23"/>
    <mergeCell ref="UFI23:UFM23"/>
    <mergeCell ref="UFN23:UFR23"/>
    <mergeCell ref="UFS23:UFW23"/>
    <mergeCell ref="UFX23:UGB23"/>
    <mergeCell ref="UGC23:UGG23"/>
    <mergeCell ref="UGH23:UGL23"/>
    <mergeCell ref="UGM23:UGQ23"/>
    <mergeCell ref="UGR23:UGV23"/>
    <mergeCell ref="UGW23:UHA23"/>
    <mergeCell ref="UHB23:UHF23"/>
    <mergeCell ref="UHG23:UHK23"/>
    <mergeCell ref="UHL23:UHP23"/>
    <mergeCell ref="UHQ23:UHU23"/>
    <mergeCell ref="UHV23:UHZ23"/>
    <mergeCell ref="UIA23:UIE23"/>
    <mergeCell ref="UIF23:UIJ23"/>
    <mergeCell ref="UIK23:UIO23"/>
    <mergeCell ref="UIP23:UIT23"/>
    <mergeCell ref="UIU23:UIY23"/>
    <mergeCell ref="UIZ23:UJD23"/>
    <mergeCell ref="UJE23:UJI23"/>
    <mergeCell ref="UJJ23:UJN23"/>
    <mergeCell ref="UJO23:UJS23"/>
    <mergeCell ref="UJT23:UJX23"/>
    <mergeCell ref="UJY23:UKC23"/>
    <mergeCell ref="UKD23:UKH23"/>
    <mergeCell ref="UKI23:UKM23"/>
    <mergeCell ref="UKN23:UKR23"/>
    <mergeCell ref="UKS23:UKW23"/>
    <mergeCell ref="UKX23:ULB23"/>
    <mergeCell ref="ULC23:ULG23"/>
    <mergeCell ref="ULH23:ULL23"/>
    <mergeCell ref="ULM23:ULQ23"/>
    <mergeCell ref="ULR23:ULV23"/>
    <mergeCell ref="ULW23:UMA23"/>
    <mergeCell ref="UMB23:UMF23"/>
    <mergeCell ref="UMG23:UMK23"/>
    <mergeCell ref="UML23:UMP23"/>
    <mergeCell ref="UMQ23:UMU23"/>
    <mergeCell ref="UMV23:UMZ23"/>
    <mergeCell ref="UNA23:UNE23"/>
    <mergeCell ref="UNF23:UNJ23"/>
    <mergeCell ref="UNK23:UNO23"/>
    <mergeCell ref="UNP23:UNT23"/>
    <mergeCell ref="UNU23:UNY23"/>
    <mergeCell ref="UNZ23:UOD23"/>
    <mergeCell ref="UOE23:UOI23"/>
    <mergeCell ref="UOJ23:UON23"/>
    <mergeCell ref="UOO23:UOS23"/>
    <mergeCell ref="UOT23:UOX23"/>
    <mergeCell ref="UOY23:UPC23"/>
    <mergeCell ref="UPD23:UPH23"/>
    <mergeCell ref="UPI23:UPM23"/>
    <mergeCell ref="UPN23:UPR23"/>
    <mergeCell ref="UPS23:UPW23"/>
    <mergeCell ref="UPX23:UQB23"/>
    <mergeCell ref="UQC23:UQG23"/>
    <mergeCell ref="UQH23:UQL23"/>
    <mergeCell ref="UQM23:UQQ23"/>
    <mergeCell ref="UQR23:UQV23"/>
    <mergeCell ref="UQW23:URA23"/>
    <mergeCell ref="URB23:URF23"/>
    <mergeCell ref="URG23:URK23"/>
    <mergeCell ref="URL23:URP23"/>
    <mergeCell ref="URQ23:URU23"/>
    <mergeCell ref="URV23:URZ23"/>
    <mergeCell ref="USA23:USE23"/>
    <mergeCell ref="USF23:USJ23"/>
    <mergeCell ref="USK23:USO23"/>
    <mergeCell ref="USP23:UST23"/>
    <mergeCell ref="USU23:USY23"/>
    <mergeCell ref="USZ23:UTD23"/>
    <mergeCell ref="UTE23:UTI23"/>
    <mergeCell ref="UTJ23:UTN23"/>
    <mergeCell ref="UTO23:UTS23"/>
    <mergeCell ref="UTT23:UTX23"/>
    <mergeCell ref="UTY23:UUC23"/>
    <mergeCell ref="UUD23:UUH23"/>
    <mergeCell ref="UUI23:UUM23"/>
    <mergeCell ref="UUN23:UUR23"/>
    <mergeCell ref="UUS23:UUW23"/>
    <mergeCell ref="UUX23:UVB23"/>
    <mergeCell ref="UVC23:UVG23"/>
    <mergeCell ref="UVH23:UVL23"/>
    <mergeCell ref="UVM23:UVQ23"/>
    <mergeCell ref="UVR23:UVV23"/>
    <mergeCell ref="UVW23:UWA23"/>
    <mergeCell ref="UWB23:UWF23"/>
    <mergeCell ref="UWG23:UWK23"/>
    <mergeCell ref="UWL23:UWP23"/>
    <mergeCell ref="UWQ23:UWU23"/>
    <mergeCell ref="UWV23:UWZ23"/>
    <mergeCell ref="UXA23:UXE23"/>
    <mergeCell ref="UXF23:UXJ23"/>
    <mergeCell ref="UXK23:UXO23"/>
    <mergeCell ref="UXP23:UXT23"/>
    <mergeCell ref="UXU23:UXY23"/>
    <mergeCell ref="UXZ23:UYD23"/>
    <mergeCell ref="UYE23:UYI23"/>
    <mergeCell ref="UYJ23:UYN23"/>
    <mergeCell ref="UYO23:UYS23"/>
    <mergeCell ref="UYT23:UYX23"/>
    <mergeCell ref="UYY23:UZC23"/>
    <mergeCell ref="UZD23:UZH23"/>
    <mergeCell ref="UZI23:UZM23"/>
    <mergeCell ref="UZN23:UZR23"/>
    <mergeCell ref="UZS23:UZW23"/>
    <mergeCell ref="UZX23:VAB23"/>
    <mergeCell ref="VAC23:VAG23"/>
    <mergeCell ref="VAH23:VAL23"/>
    <mergeCell ref="VAM23:VAQ23"/>
    <mergeCell ref="VAR23:VAV23"/>
    <mergeCell ref="VAW23:VBA23"/>
    <mergeCell ref="VBB23:VBF23"/>
    <mergeCell ref="VBG23:VBK23"/>
    <mergeCell ref="VBL23:VBP23"/>
    <mergeCell ref="VBQ23:VBU23"/>
    <mergeCell ref="VBV23:VBZ23"/>
    <mergeCell ref="VCA23:VCE23"/>
    <mergeCell ref="VCF23:VCJ23"/>
    <mergeCell ref="VCK23:VCO23"/>
    <mergeCell ref="VCP23:VCT23"/>
    <mergeCell ref="VCU23:VCY23"/>
    <mergeCell ref="VCZ23:VDD23"/>
    <mergeCell ref="VDE23:VDI23"/>
    <mergeCell ref="VDJ23:VDN23"/>
    <mergeCell ref="VDO23:VDS23"/>
    <mergeCell ref="VDT23:VDX23"/>
    <mergeCell ref="VDY23:VEC23"/>
    <mergeCell ref="VED23:VEH23"/>
    <mergeCell ref="VEI23:VEM23"/>
    <mergeCell ref="VEN23:VER23"/>
    <mergeCell ref="VES23:VEW23"/>
    <mergeCell ref="VEX23:VFB23"/>
    <mergeCell ref="VFC23:VFG23"/>
    <mergeCell ref="VFH23:VFL23"/>
    <mergeCell ref="VFM23:VFQ23"/>
    <mergeCell ref="VFR23:VFV23"/>
    <mergeCell ref="VFW23:VGA23"/>
    <mergeCell ref="VGB23:VGF23"/>
    <mergeCell ref="VGG23:VGK23"/>
    <mergeCell ref="VGL23:VGP23"/>
    <mergeCell ref="VGQ23:VGU23"/>
    <mergeCell ref="VGV23:VGZ23"/>
    <mergeCell ref="VHA23:VHE23"/>
    <mergeCell ref="VHF23:VHJ23"/>
    <mergeCell ref="VHK23:VHO23"/>
    <mergeCell ref="VHP23:VHT23"/>
    <mergeCell ref="VHU23:VHY23"/>
    <mergeCell ref="VHZ23:VID23"/>
    <mergeCell ref="VIE23:VII23"/>
    <mergeCell ref="VIJ23:VIN23"/>
    <mergeCell ref="VIO23:VIS23"/>
    <mergeCell ref="VIT23:VIX23"/>
    <mergeCell ref="VIY23:VJC23"/>
    <mergeCell ref="VJD23:VJH23"/>
    <mergeCell ref="VJI23:VJM23"/>
    <mergeCell ref="VJN23:VJR23"/>
    <mergeCell ref="VJS23:VJW23"/>
    <mergeCell ref="VJX23:VKB23"/>
    <mergeCell ref="VKC23:VKG23"/>
    <mergeCell ref="VKH23:VKL23"/>
    <mergeCell ref="VKM23:VKQ23"/>
    <mergeCell ref="VKR23:VKV23"/>
    <mergeCell ref="VKW23:VLA23"/>
    <mergeCell ref="VLB23:VLF23"/>
    <mergeCell ref="VLG23:VLK23"/>
    <mergeCell ref="VLL23:VLP23"/>
    <mergeCell ref="VLQ23:VLU23"/>
    <mergeCell ref="VLV23:VLZ23"/>
    <mergeCell ref="VMA23:VME23"/>
    <mergeCell ref="VMF23:VMJ23"/>
    <mergeCell ref="VMK23:VMO23"/>
    <mergeCell ref="VMP23:VMT23"/>
    <mergeCell ref="VMU23:VMY23"/>
    <mergeCell ref="VMZ23:VND23"/>
    <mergeCell ref="VNE23:VNI23"/>
    <mergeCell ref="VNJ23:VNN23"/>
    <mergeCell ref="VNO23:VNS23"/>
    <mergeCell ref="VNT23:VNX23"/>
    <mergeCell ref="VNY23:VOC23"/>
    <mergeCell ref="VOD23:VOH23"/>
    <mergeCell ref="VOI23:VOM23"/>
    <mergeCell ref="VON23:VOR23"/>
    <mergeCell ref="VOS23:VOW23"/>
    <mergeCell ref="VOX23:VPB23"/>
    <mergeCell ref="VPC23:VPG23"/>
    <mergeCell ref="VPH23:VPL23"/>
    <mergeCell ref="VPM23:VPQ23"/>
    <mergeCell ref="VPR23:VPV23"/>
    <mergeCell ref="VPW23:VQA23"/>
    <mergeCell ref="VQB23:VQF23"/>
    <mergeCell ref="VQG23:VQK23"/>
    <mergeCell ref="VQL23:VQP23"/>
    <mergeCell ref="VQQ23:VQU23"/>
    <mergeCell ref="VQV23:VQZ23"/>
    <mergeCell ref="VRA23:VRE23"/>
    <mergeCell ref="VRF23:VRJ23"/>
    <mergeCell ref="VRK23:VRO23"/>
    <mergeCell ref="VRP23:VRT23"/>
    <mergeCell ref="VRU23:VRY23"/>
    <mergeCell ref="VRZ23:VSD23"/>
    <mergeCell ref="VSE23:VSI23"/>
    <mergeCell ref="VSJ23:VSN23"/>
    <mergeCell ref="VSO23:VSS23"/>
    <mergeCell ref="VST23:VSX23"/>
    <mergeCell ref="VSY23:VTC23"/>
    <mergeCell ref="VTD23:VTH23"/>
    <mergeCell ref="VTI23:VTM23"/>
    <mergeCell ref="VTN23:VTR23"/>
    <mergeCell ref="VTS23:VTW23"/>
    <mergeCell ref="VTX23:VUB23"/>
    <mergeCell ref="VUC23:VUG23"/>
    <mergeCell ref="VUH23:VUL23"/>
    <mergeCell ref="VUM23:VUQ23"/>
    <mergeCell ref="VUR23:VUV23"/>
    <mergeCell ref="VUW23:VVA23"/>
    <mergeCell ref="VVB23:VVF23"/>
    <mergeCell ref="VVG23:VVK23"/>
    <mergeCell ref="VVL23:VVP23"/>
    <mergeCell ref="VVQ23:VVU23"/>
    <mergeCell ref="VVV23:VVZ23"/>
    <mergeCell ref="VWA23:VWE23"/>
    <mergeCell ref="VWF23:VWJ23"/>
    <mergeCell ref="VWK23:VWO23"/>
    <mergeCell ref="VWP23:VWT23"/>
    <mergeCell ref="VWU23:VWY23"/>
    <mergeCell ref="VWZ23:VXD23"/>
    <mergeCell ref="VXE23:VXI23"/>
    <mergeCell ref="VXJ23:VXN23"/>
    <mergeCell ref="VXO23:VXS23"/>
    <mergeCell ref="VXT23:VXX23"/>
    <mergeCell ref="VXY23:VYC23"/>
    <mergeCell ref="VYD23:VYH23"/>
    <mergeCell ref="VYI23:VYM23"/>
    <mergeCell ref="VYN23:VYR23"/>
    <mergeCell ref="VYS23:VYW23"/>
    <mergeCell ref="VYX23:VZB23"/>
    <mergeCell ref="VZC23:VZG23"/>
    <mergeCell ref="VZH23:VZL23"/>
    <mergeCell ref="VZM23:VZQ23"/>
    <mergeCell ref="VZR23:VZV23"/>
    <mergeCell ref="VZW23:WAA23"/>
    <mergeCell ref="WAB23:WAF23"/>
    <mergeCell ref="WAG23:WAK23"/>
    <mergeCell ref="WAL23:WAP23"/>
    <mergeCell ref="WAQ23:WAU23"/>
    <mergeCell ref="WAV23:WAZ23"/>
    <mergeCell ref="WBA23:WBE23"/>
    <mergeCell ref="WBF23:WBJ23"/>
    <mergeCell ref="WBK23:WBO23"/>
    <mergeCell ref="WBP23:WBT23"/>
    <mergeCell ref="WBU23:WBY23"/>
    <mergeCell ref="WBZ23:WCD23"/>
    <mergeCell ref="WCE23:WCI23"/>
    <mergeCell ref="WCJ23:WCN23"/>
    <mergeCell ref="WCO23:WCS23"/>
    <mergeCell ref="WCT23:WCX23"/>
    <mergeCell ref="WCY23:WDC23"/>
    <mergeCell ref="WDD23:WDH23"/>
    <mergeCell ref="WDI23:WDM23"/>
    <mergeCell ref="WDN23:WDR23"/>
    <mergeCell ref="WDS23:WDW23"/>
    <mergeCell ref="WDX23:WEB23"/>
    <mergeCell ref="WEC23:WEG23"/>
    <mergeCell ref="WEH23:WEL23"/>
    <mergeCell ref="WEM23:WEQ23"/>
    <mergeCell ref="WER23:WEV23"/>
    <mergeCell ref="WEW23:WFA23"/>
    <mergeCell ref="WFB23:WFF23"/>
    <mergeCell ref="WFG23:WFK23"/>
    <mergeCell ref="WFL23:WFP23"/>
    <mergeCell ref="WFQ23:WFU23"/>
    <mergeCell ref="WFV23:WFZ23"/>
    <mergeCell ref="WGA23:WGE23"/>
    <mergeCell ref="WGF23:WGJ23"/>
    <mergeCell ref="WGK23:WGO23"/>
    <mergeCell ref="WGP23:WGT23"/>
    <mergeCell ref="WGU23:WGY23"/>
    <mergeCell ref="WGZ23:WHD23"/>
    <mergeCell ref="WHE23:WHI23"/>
    <mergeCell ref="WHJ23:WHN23"/>
    <mergeCell ref="WHO23:WHS23"/>
    <mergeCell ref="WHT23:WHX23"/>
    <mergeCell ref="WHY23:WIC23"/>
    <mergeCell ref="WID23:WIH23"/>
    <mergeCell ref="WII23:WIM23"/>
    <mergeCell ref="WIN23:WIR23"/>
    <mergeCell ref="WIS23:WIW23"/>
    <mergeCell ref="WIX23:WJB23"/>
    <mergeCell ref="WJC23:WJG23"/>
    <mergeCell ref="WJH23:WJL23"/>
    <mergeCell ref="WJM23:WJQ23"/>
    <mergeCell ref="WJR23:WJV23"/>
    <mergeCell ref="WJW23:WKA23"/>
    <mergeCell ref="WKB23:WKF23"/>
    <mergeCell ref="WKG23:WKK23"/>
    <mergeCell ref="WKL23:WKP23"/>
    <mergeCell ref="WKQ23:WKU23"/>
    <mergeCell ref="WKV23:WKZ23"/>
    <mergeCell ref="WLA23:WLE23"/>
    <mergeCell ref="WLF23:WLJ23"/>
    <mergeCell ref="WLK23:WLO23"/>
    <mergeCell ref="WLP23:WLT23"/>
    <mergeCell ref="WLU23:WLY23"/>
    <mergeCell ref="WLZ23:WMD23"/>
    <mergeCell ref="WME23:WMI23"/>
    <mergeCell ref="WMJ23:WMN23"/>
    <mergeCell ref="WMO23:WMS23"/>
    <mergeCell ref="WMT23:WMX23"/>
    <mergeCell ref="WMY23:WNC23"/>
    <mergeCell ref="WND23:WNH23"/>
    <mergeCell ref="WNI23:WNM23"/>
    <mergeCell ref="WNN23:WNR23"/>
    <mergeCell ref="WNS23:WNW23"/>
    <mergeCell ref="WNX23:WOB23"/>
    <mergeCell ref="WOC23:WOG23"/>
    <mergeCell ref="WOH23:WOL23"/>
    <mergeCell ref="WOM23:WOQ23"/>
    <mergeCell ref="WOR23:WOV23"/>
    <mergeCell ref="WOW23:WPA23"/>
    <mergeCell ref="WPB23:WPF23"/>
    <mergeCell ref="WPG23:WPK23"/>
    <mergeCell ref="WPL23:WPP23"/>
    <mergeCell ref="WPQ23:WPU23"/>
    <mergeCell ref="WPV23:WPZ23"/>
    <mergeCell ref="WQA23:WQE23"/>
    <mergeCell ref="WQF23:WQJ23"/>
    <mergeCell ref="WQK23:WQO23"/>
    <mergeCell ref="WQP23:WQT23"/>
    <mergeCell ref="WQU23:WQY23"/>
    <mergeCell ref="WQZ23:WRD23"/>
    <mergeCell ref="WRE23:WRI23"/>
    <mergeCell ref="WRJ23:WRN23"/>
    <mergeCell ref="WRO23:WRS23"/>
    <mergeCell ref="WRT23:WRX23"/>
    <mergeCell ref="WRY23:WSC23"/>
    <mergeCell ref="WSD23:WSH23"/>
    <mergeCell ref="WSI23:WSM23"/>
    <mergeCell ref="WSN23:WSR23"/>
    <mergeCell ref="WSS23:WSW23"/>
    <mergeCell ref="WSX23:WTB23"/>
    <mergeCell ref="WWT23:WWX23"/>
    <mergeCell ref="WWY23:WXC23"/>
    <mergeCell ref="WXD23:WXH23"/>
    <mergeCell ref="WXI23:WXM23"/>
    <mergeCell ref="WXN23:WXR23"/>
    <mergeCell ref="WXS23:WXW23"/>
    <mergeCell ref="WXX23:WYB23"/>
    <mergeCell ref="WYC23:WYG23"/>
    <mergeCell ref="WYH23:WYL23"/>
    <mergeCell ref="WYM23:WYQ23"/>
    <mergeCell ref="WYR23:WYV23"/>
    <mergeCell ref="WYW23:WZA23"/>
    <mergeCell ref="WZB23:WZF23"/>
    <mergeCell ref="WZG23:WZK23"/>
    <mergeCell ref="WZL23:WZP23"/>
    <mergeCell ref="WTC23:WTG23"/>
    <mergeCell ref="WTH23:WTL23"/>
    <mergeCell ref="WTM23:WTQ23"/>
    <mergeCell ref="WTR23:WTV23"/>
    <mergeCell ref="WTW23:WUA23"/>
    <mergeCell ref="WUB23:WUF23"/>
    <mergeCell ref="WUG23:WUK23"/>
    <mergeCell ref="WUL23:WUP23"/>
    <mergeCell ref="WUQ23:WUU23"/>
    <mergeCell ref="WUV23:WUZ23"/>
    <mergeCell ref="WVA23:WVE23"/>
    <mergeCell ref="WVF23:WVJ23"/>
    <mergeCell ref="WVK23:WVO23"/>
    <mergeCell ref="WVP23:WVT23"/>
    <mergeCell ref="WVU23:WVY23"/>
    <mergeCell ref="WVZ23:WWD23"/>
    <mergeCell ref="WWE23:WWI23"/>
    <mergeCell ref="XCX23:XDB23"/>
    <mergeCell ref="XDC23:XDG23"/>
    <mergeCell ref="XDH23:XDL23"/>
    <mergeCell ref="XDM23:XDQ23"/>
    <mergeCell ref="XDR23:XDV23"/>
    <mergeCell ref="XDW23:XEA23"/>
    <mergeCell ref="XEB23:XEF23"/>
    <mergeCell ref="XEG23:XEK23"/>
    <mergeCell ref="XEL23:XEP23"/>
    <mergeCell ref="XEQ23:XEU23"/>
    <mergeCell ref="XEV23:XEZ23"/>
    <mergeCell ref="XFA23:XFD23"/>
    <mergeCell ref="I35:N36"/>
    <mergeCell ref="WZQ23:WZU23"/>
    <mergeCell ref="WZV23:WZZ23"/>
    <mergeCell ref="XAA23:XAE23"/>
    <mergeCell ref="XAF23:XAJ23"/>
    <mergeCell ref="XAK23:XAO23"/>
    <mergeCell ref="XAP23:XAT23"/>
    <mergeCell ref="XAU23:XAY23"/>
    <mergeCell ref="XAZ23:XBD23"/>
    <mergeCell ref="XBE23:XBI23"/>
    <mergeCell ref="XBJ23:XBN23"/>
    <mergeCell ref="XBO23:XBS23"/>
    <mergeCell ref="XBT23:XBX23"/>
    <mergeCell ref="XBY23:XCC23"/>
    <mergeCell ref="XCD23:XCH23"/>
    <mergeCell ref="XCI23:XCM23"/>
    <mergeCell ref="XCN23:XCR23"/>
    <mergeCell ref="XCS23:XCW23"/>
    <mergeCell ref="WWJ23:WWN23"/>
    <mergeCell ref="WWO23:WWS23"/>
  </mergeCells>
  <hyperlinks>
    <hyperlink ref="G1" r:id="rId1" location="'ملخص%20عام'!A1" xr:uid="{00000000-0004-0000-1D00-000000000000}"/>
  </hyperlinks>
  <pageMargins left="0.75" right="0.75" top="1" bottom="1" header="0.511811023622047" footer="0.511811023622047"/>
  <pageSetup paperSize="9" orientation="portrait" horizontalDpi="300" verticalDpi="30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19"/>
  <sheetViews>
    <sheetView rightToLeft="1" zoomScaleNormal="100" workbookViewId="0"/>
  </sheetViews>
  <sheetFormatPr defaultColWidth="8.7109375" defaultRowHeight="15"/>
  <cols>
    <col min="1" max="1" width="10" customWidth="1"/>
    <col min="2" max="3" width="13" customWidth="1"/>
    <col min="4" max="4" width="16" customWidth="1"/>
    <col min="5" max="5" width="12" customWidth="1"/>
    <col min="6" max="6" width="15" customWidth="1"/>
    <col min="7" max="7" width="12" customWidth="1"/>
  </cols>
  <sheetData>
    <row r="1" spans="1:7" ht="17.25" customHeight="1">
      <c r="A1" s="84" t="s">
        <v>377</v>
      </c>
      <c r="B1" s="84"/>
      <c r="C1" s="84"/>
      <c r="D1" s="84"/>
      <c r="E1" s="84"/>
      <c r="F1" s="84"/>
      <c r="G1" s="21" t="s">
        <v>86</v>
      </c>
    </row>
    <row r="2" spans="1:7" ht="34.5" customHeight="1">
      <c r="A2" s="70" t="s">
        <v>378</v>
      </c>
      <c r="B2" s="70"/>
      <c r="C2" s="70"/>
      <c r="D2" s="70"/>
      <c r="E2" s="70"/>
      <c r="F2" s="70"/>
    </row>
    <row r="4" spans="1:7" ht="15.75" customHeight="1">
      <c r="A4" s="38" t="s">
        <v>232</v>
      </c>
      <c r="B4" s="38" t="s">
        <v>379</v>
      </c>
      <c r="C4" s="38" t="s">
        <v>380</v>
      </c>
      <c r="D4" s="38" t="s">
        <v>381</v>
      </c>
      <c r="E4" s="38" t="s">
        <v>382</v>
      </c>
      <c r="F4" s="38" t="s">
        <v>383</v>
      </c>
      <c r="G4" s="38" t="s">
        <v>119</v>
      </c>
    </row>
    <row r="5" spans="1:7" ht="15" customHeight="1">
      <c r="A5" s="12">
        <v>2022</v>
      </c>
      <c r="B5" s="12">
        <v>346</v>
      </c>
      <c r="C5" s="12">
        <v>45</v>
      </c>
      <c r="D5" s="12">
        <v>8</v>
      </c>
      <c r="E5" s="12">
        <v>66</v>
      </c>
      <c r="F5" s="12">
        <v>414</v>
      </c>
      <c r="G5" s="12">
        <v>879</v>
      </c>
    </row>
    <row r="6" spans="1:7" ht="15" customHeight="1">
      <c r="A6" s="12">
        <v>2023</v>
      </c>
      <c r="B6" s="12">
        <v>237</v>
      </c>
      <c r="C6" s="12">
        <v>19</v>
      </c>
      <c r="D6" s="12">
        <v>7</v>
      </c>
      <c r="E6" s="12">
        <v>43</v>
      </c>
      <c r="F6" s="12">
        <v>281</v>
      </c>
      <c r="G6" s="12">
        <v>587</v>
      </c>
    </row>
    <row r="7" spans="1:7" ht="15" customHeight="1">
      <c r="A7" s="12">
        <v>2024</v>
      </c>
      <c r="B7" s="12">
        <v>278</v>
      </c>
      <c r="C7" s="12">
        <v>29</v>
      </c>
      <c r="D7" s="12">
        <v>10</v>
      </c>
      <c r="E7" s="12">
        <v>44</v>
      </c>
      <c r="F7" s="12">
        <v>309</v>
      </c>
      <c r="G7" s="12">
        <v>670</v>
      </c>
    </row>
    <row r="8" spans="1:7" ht="15" customHeight="1">
      <c r="A8" s="12">
        <v>2025</v>
      </c>
      <c r="B8" s="12">
        <v>328</v>
      </c>
      <c r="C8" s="12">
        <v>47</v>
      </c>
      <c r="D8" s="12">
        <v>1</v>
      </c>
      <c r="E8" s="12">
        <v>37</v>
      </c>
      <c r="F8" s="12">
        <v>374</v>
      </c>
      <c r="G8" s="12">
        <v>787</v>
      </c>
    </row>
    <row r="10" spans="1:7" ht="15" customHeight="1">
      <c r="A10" s="70" t="s">
        <v>384</v>
      </c>
      <c r="B10" s="70"/>
      <c r="C10" s="70"/>
      <c r="D10" s="70"/>
      <c r="E10" s="70"/>
      <c r="F10" s="70"/>
    </row>
    <row r="18" spans="9:14" ht="15" customHeight="1">
      <c r="I18" s="66" t="s">
        <v>385</v>
      </c>
      <c r="J18" s="66"/>
      <c r="K18" s="66"/>
      <c r="L18" s="66"/>
      <c r="M18" s="66"/>
      <c r="N18" s="66"/>
    </row>
    <row r="19" spans="9:14">
      <c r="I19" s="66"/>
      <c r="J19" s="66"/>
      <c r="K19" s="66"/>
      <c r="L19" s="66"/>
      <c r="M19" s="66"/>
      <c r="N19" s="66"/>
    </row>
  </sheetData>
  <mergeCells count="4">
    <mergeCell ref="A1:F1"/>
    <mergeCell ref="A2:F2"/>
    <mergeCell ref="A10:F10"/>
    <mergeCell ref="I18:N19"/>
  </mergeCells>
  <hyperlinks>
    <hyperlink ref="G1" r:id="rId1" location="'ملخص%20عام'!A1" xr:uid="{00000000-0004-0000-1E00-000000000000}"/>
  </hyperlinks>
  <pageMargins left="0.75" right="0.75" top="1" bottom="1" header="0.511811023622047" footer="0.511811023622047"/>
  <pageSetup paperSize="9" orientation="portrait" horizontalDpi="300" verticalDpi="30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21"/>
  <sheetViews>
    <sheetView rightToLeft="1" zoomScaleNormal="100" workbookViewId="0">
      <selection activeCell="C11" sqref="C11"/>
    </sheetView>
  </sheetViews>
  <sheetFormatPr defaultColWidth="8.7109375" defaultRowHeight="15"/>
  <cols>
    <col min="1" max="1" width="36" customWidth="1"/>
    <col min="2" max="5" width="12" customWidth="1"/>
  </cols>
  <sheetData>
    <row r="1" spans="1:7" ht="17.25" customHeight="1">
      <c r="A1" s="84" t="s">
        <v>386</v>
      </c>
      <c r="B1" s="84"/>
      <c r="C1" s="84"/>
      <c r="D1" s="84"/>
      <c r="E1" s="84"/>
      <c r="F1" s="84"/>
      <c r="G1" s="21" t="s">
        <v>86</v>
      </c>
    </row>
    <row r="2" spans="1:7" ht="23.25" customHeight="1">
      <c r="A2" s="70" t="s">
        <v>387</v>
      </c>
      <c r="B2" s="70"/>
      <c r="C2" s="70"/>
      <c r="D2" s="70"/>
      <c r="E2" s="70"/>
      <c r="F2" s="70"/>
    </row>
    <row r="4" spans="1:7" ht="15.75" customHeight="1">
      <c r="A4" s="38" t="s">
        <v>388</v>
      </c>
      <c r="B4" s="38" t="s">
        <v>89</v>
      </c>
      <c r="C4" s="38" t="s">
        <v>90</v>
      </c>
      <c r="D4" s="38" t="s">
        <v>91</v>
      </c>
      <c r="E4" s="38" t="s">
        <v>92</v>
      </c>
    </row>
    <row r="5" spans="1:7" ht="15" customHeight="1">
      <c r="A5" s="14" t="s">
        <v>389</v>
      </c>
      <c r="B5" s="12">
        <v>15</v>
      </c>
      <c r="C5" s="12">
        <v>7</v>
      </c>
      <c r="D5" s="12">
        <v>10</v>
      </c>
      <c r="E5" s="12">
        <v>27</v>
      </c>
    </row>
    <row r="6" spans="1:7" ht="15" customHeight="1">
      <c r="A6" s="14" t="s">
        <v>131</v>
      </c>
      <c r="B6" s="12">
        <v>16</v>
      </c>
      <c r="C6" s="12">
        <v>8</v>
      </c>
      <c r="D6" s="12">
        <v>12</v>
      </c>
      <c r="E6" s="12">
        <v>15</v>
      </c>
    </row>
    <row r="7" spans="1:7" ht="15" customHeight="1">
      <c r="A7" s="14" t="s">
        <v>124</v>
      </c>
      <c r="B7" s="12">
        <v>26</v>
      </c>
      <c r="C7" s="12">
        <v>6</v>
      </c>
      <c r="D7" s="12">
        <v>4</v>
      </c>
      <c r="E7" s="12">
        <v>17</v>
      </c>
    </row>
    <row r="8" spans="1:7" ht="15" customHeight="1">
      <c r="A8" s="14" t="s">
        <v>390</v>
      </c>
      <c r="B8" s="12">
        <v>668</v>
      </c>
      <c r="C8" s="12">
        <v>459</v>
      </c>
      <c r="D8" s="12">
        <v>577</v>
      </c>
      <c r="E8" s="12">
        <v>552</v>
      </c>
    </row>
    <row r="9" spans="1:7" ht="15" customHeight="1">
      <c r="A9" s="14" t="s">
        <v>391</v>
      </c>
      <c r="B9" s="12">
        <v>41</v>
      </c>
      <c r="C9" s="12">
        <v>39</v>
      </c>
      <c r="D9" s="12">
        <v>25</v>
      </c>
      <c r="E9" s="12">
        <v>69</v>
      </c>
    </row>
    <row r="10" spans="1:7" ht="15" customHeight="1">
      <c r="A10" s="14" t="s">
        <v>132</v>
      </c>
      <c r="B10" s="12">
        <v>39</v>
      </c>
      <c r="C10" s="12">
        <v>10</v>
      </c>
      <c r="D10" s="12">
        <v>11</v>
      </c>
      <c r="E10" s="12">
        <v>81</v>
      </c>
    </row>
    <row r="11" spans="1:7" ht="15" customHeight="1">
      <c r="A11" s="14" t="s">
        <v>392</v>
      </c>
      <c r="B11" s="12">
        <v>8</v>
      </c>
      <c r="C11" s="12">
        <v>0</v>
      </c>
      <c r="D11" s="12">
        <v>0</v>
      </c>
      <c r="E11" s="12">
        <v>0</v>
      </c>
    </row>
    <row r="12" spans="1:7" ht="15" customHeight="1">
      <c r="A12" s="14" t="s">
        <v>123</v>
      </c>
      <c r="B12" s="12">
        <v>5</v>
      </c>
      <c r="C12" s="12">
        <v>1</v>
      </c>
      <c r="D12" s="12">
        <v>4</v>
      </c>
      <c r="E12" s="12">
        <v>7</v>
      </c>
    </row>
    <row r="13" spans="1:7" ht="15" customHeight="1">
      <c r="A13" s="14" t="s">
        <v>127</v>
      </c>
      <c r="B13" s="12">
        <v>5</v>
      </c>
      <c r="C13" s="12">
        <v>2</v>
      </c>
      <c r="D13" s="12">
        <v>1</v>
      </c>
      <c r="E13" s="12">
        <v>10</v>
      </c>
    </row>
    <row r="14" spans="1:7" ht="15" customHeight="1">
      <c r="A14" s="14" t="s">
        <v>134</v>
      </c>
      <c r="B14" s="12">
        <v>16</v>
      </c>
      <c r="C14" s="12">
        <v>4</v>
      </c>
      <c r="D14" s="12">
        <v>3</v>
      </c>
      <c r="E14" s="12">
        <v>9</v>
      </c>
    </row>
    <row r="15" spans="1:7" ht="15" customHeight="1">
      <c r="A15" s="14" t="s">
        <v>393</v>
      </c>
      <c r="B15" s="12">
        <v>0</v>
      </c>
      <c r="C15" s="12">
        <v>0</v>
      </c>
      <c r="D15" s="12">
        <v>0</v>
      </c>
      <c r="E15" s="12">
        <v>0</v>
      </c>
    </row>
    <row r="16" spans="1:7" ht="15" customHeight="1">
      <c r="A16" s="14" t="s">
        <v>135</v>
      </c>
      <c r="B16" s="12">
        <v>0</v>
      </c>
      <c r="C16" s="12">
        <v>0</v>
      </c>
      <c r="D16" s="12">
        <v>0</v>
      </c>
      <c r="E16" s="12">
        <v>0</v>
      </c>
    </row>
    <row r="17" spans="1:14" ht="15" customHeight="1">
      <c r="A17" s="14" t="s">
        <v>130</v>
      </c>
      <c r="B17" s="12">
        <v>0</v>
      </c>
      <c r="C17" s="12">
        <v>0</v>
      </c>
      <c r="D17" s="12">
        <v>0</v>
      </c>
      <c r="E17" s="12">
        <v>0</v>
      </c>
    </row>
    <row r="18" spans="1:14" ht="15" customHeight="1">
      <c r="A18" s="14" t="s">
        <v>394</v>
      </c>
      <c r="B18" s="12">
        <v>40</v>
      </c>
      <c r="C18" s="12">
        <v>51</v>
      </c>
      <c r="D18" s="12">
        <v>23</v>
      </c>
      <c r="E18" s="12">
        <v>0</v>
      </c>
      <c r="I18" s="66" t="s">
        <v>395</v>
      </c>
      <c r="J18" s="66"/>
      <c r="K18" s="66"/>
      <c r="L18" s="66"/>
      <c r="M18" s="66"/>
      <c r="N18" s="66"/>
    </row>
    <row r="19" spans="1:14" ht="15" customHeight="1">
      <c r="A19" s="40" t="s">
        <v>119</v>
      </c>
      <c r="B19" s="12">
        <v>0</v>
      </c>
      <c r="C19" s="12">
        <v>0</v>
      </c>
      <c r="D19" s="12">
        <v>0</v>
      </c>
      <c r="E19" s="12">
        <v>0</v>
      </c>
      <c r="I19" s="66"/>
      <c r="J19" s="66"/>
      <c r="K19" s="66"/>
      <c r="L19" s="66"/>
      <c r="M19" s="66"/>
      <c r="N19" s="66"/>
    </row>
    <row r="21" spans="1:14" ht="23.25" customHeight="1">
      <c r="A21" s="70" t="s">
        <v>396</v>
      </c>
      <c r="B21" s="70"/>
      <c r="C21" s="70"/>
      <c r="D21" s="70"/>
      <c r="E21" s="70"/>
      <c r="F21" s="70"/>
    </row>
  </sheetData>
  <mergeCells count="4">
    <mergeCell ref="A1:F1"/>
    <mergeCell ref="A2:F2"/>
    <mergeCell ref="I18:N19"/>
    <mergeCell ref="A21:F21"/>
  </mergeCells>
  <hyperlinks>
    <hyperlink ref="G1" r:id="rId1" location="'ملخص%20عام'!A1" xr:uid="{00000000-0004-0000-1F00-000000000000}"/>
  </hyperlinks>
  <pageMargins left="0.75" right="0.75" top="1" bottom="1" header="0.511811023622047" footer="0.511811023622047"/>
  <pageSetup paperSize="9" orientation="portrait" horizontalDpi="300" verticalDpi="30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9"/>
  <sheetViews>
    <sheetView rightToLeft="1" zoomScaleNormal="100" workbookViewId="0">
      <selection activeCell="F27" sqref="F27"/>
    </sheetView>
  </sheetViews>
  <sheetFormatPr defaultColWidth="8.7109375" defaultRowHeight="15"/>
  <cols>
    <col min="1" max="1" width="32" customWidth="1"/>
    <col min="2" max="5" width="12" customWidth="1"/>
  </cols>
  <sheetData>
    <row r="1" spans="1:7" ht="17.25" customHeight="1">
      <c r="A1" s="84" t="s">
        <v>397</v>
      </c>
      <c r="B1" s="84"/>
      <c r="C1" s="84"/>
      <c r="D1" s="84"/>
      <c r="E1" s="84"/>
      <c r="F1" s="84"/>
      <c r="G1" s="21" t="s">
        <v>86</v>
      </c>
    </row>
    <row r="2" spans="1:7" ht="23.25" customHeight="1">
      <c r="A2" s="70" t="s">
        <v>398</v>
      </c>
      <c r="B2" s="70"/>
      <c r="C2" s="70"/>
      <c r="D2" s="70"/>
      <c r="E2" s="70"/>
      <c r="F2" s="70"/>
    </row>
    <row r="4" spans="1:7" ht="15.75" customHeight="1">
      <c r="A4" s="38" t="s">
        <v>399</v>
      </c>
      <c r="B4" s="38" t="s">
        <v>89</v>
      </c>
      <c r="C4" s="38" t="s">
        <v>90</v>
      </c>
      <c r="D4" s="38" t="s">
        <v>91</v>
      </c>
      <c r="E4" s="38" t="s">
        <v>92</v>
      </c>
    </row>
    <row r="5" spans="1:7" ht="15" customHeight="1">
      <c r="A5" s="14" t="s">
        <v>400</v>
      </c>
      <c r="B5" s="12">
        <v>455</v>
      </c>
      <c r="C5" s="12">
        <v>462</v>
      </c>
      <c r="D5" s="12">
        <v>353</v>
      </c>
      <c r="E5" s="12">
        <v>364</v>
      </c>
    </row>
    <row r="6" spans="1:7" ht="15" customHeight="1">
      <c r="A6" s="14" t="s">
        <v>106</v>
      </c>
      <c r="B6" s="12">
        <v>299</v>
      </c>
      <c r="C6" s="12">
        <v>257</v>
      </c>
      <c r="D6" s="12">
        <v>237</v>
      </c>
      <c r="E6" s="12">
        <v>311</v>
      </c>
    </row>
    <row r="7" spans="1:7" ht="15" customHeight="1">
      <c r="A7" s="14" t="s">
        <v>401</v>
      </c>
      <c r="B7" s="12">
        <v>0</v>
      </c>
      <c r="C7" s="12">
        <v>30</v>
      </c>
      <c r="D7" s="12">
        <v>43</v>
      </c>
      <c r="E7" s="12">
        <v>53</v>
      </c>
    </row>
    <row r="8" spans="1:7" ht="15" customHeight="1">
      <c r="A8" s="14" t="s">
        <v>402</v>
      </c>
      <c r="B8" s="12">
        <v>0</v>
      </c>
      <c r="C8" s="12">
        <v>13</v>
      </c>
      <c r="D8" s="12">
        <v>11</v>
      </c>
      <c r="E8" s="12">
        <v>20</v>
      </c>
    </row>
    <row r="9" spans="1:7" ht="15" customHeight="1">
      <c r="A9" s="14" t="s">
        <v>403</v>
      </c>
      <c r="B9" s="12">
        <v>13</v>
      </c>
      <c r="C9" s="12">
        <v>13</v>
      </c>
      <c r="D9" s="12">
        <v>17</v>
      </c>
      <c r="E9" s="12">
        <v>19</v>
      </c>
    </row>
    <row r="10" spans="1:7" ht="15" customHeight="1">
      <c r="A10" s="14" t="s">
        <v>404</v>
      </c>
      <c r="B10" s="12">
        <v>0</v>
      </c>
      <c r="C10" s="12">
        <v>1</v>
      </c>
      <c r="D10" s="12">
        <v>2</v>
      </c>
      <c r="E10" s="12">
        <v>3</v>
      </c>
    </row>
    <row r="11" spans="1:7" ht="15" customHeight="1">
      <c r="A11" s="14" t="s">
        <v>405</v>
      </c>
      <c r="B11" s="12">
        <v>0</v>
      </c>
      <c r="C11" s="12">
        <v>1</v>
      </c>
      <c r="D11" s="12">
        <v>1</v>
      </c>
      <c r="E11" s="12">
        <v>1</v>
      </c>
    </row>
    <row r="12" spans="1:7" ht="15" customHeight="1">
      <c r="A12" s="14" t="s">
        <v>117</v>
      </c>
      <c r="B12" s="12">
        <v>0</v>
      </c>
      <c r="C12" s="12">
        <v>8</v>
      </c>
      <c r="D12" s="12">
        <v>6</v>
      </c>
      <c r="E12" s="12">
        <v>5</v>
      </c>
    </row>
    <row r="13" spans="1:7" ht="15" customHeight="1">
      <c r="A13" s="14" t="s">
        <v>406</v>
      </c>
      <c r="B13" s="12">
        <v>12</v>
      </c>
      <c r="C13" s="12">
        <v>0</v>
      </c>
      <c r="D13" s="12">
        <v>0</v>
      </c>
      <c r="E13" s="12">
        <v>11</v>
      </c>
    </row>
    <row r="14" spans="1:7" ht="15" customHeight="1">
      <c r="A14" s="14" t="s">
        <v>254</v>
      </c>
      <c r="B14" s="12">
        <v>100</v>
      </c>
      <c r="C14" s="12">
        <v>0</v>
      </c>
      <c r="D14" s="12">
        <v>0</v>
      </c>
      <c r="E14" s="12">
        <v>0</v>
      </c>
    </row>
    <row r="15" spans="1:7" ht="15" customHeight="1">
      <c r="A15" s="40" t="s">
        <v>119</v>
      </c>
      <c r="B15" s="12">
        <v>0</v>
      </c>
      <c r="C15" s="12">
        <v>0</v>
      </c>
      <c r="D15" s="12">
        <v>0</v>
      </c>
      <c r="E15" s="12">
        <v>0</v>
      </c>
    </row>
    <row r="17" spans="1:14" ht="15" customHeight="1">
      <c r="A17" s="70" t="s">
        <v>407</v>
      </c>
      <c r="B17" s="70"/>
      <c r="C17" s="70"/>
      <c r="D17" s="70"/>
      <c r="E17" s="70"/>
      <c r="F17" s="70"/>
    </row>
    <row r="18" spans="1:14" ht="15" customHeight="1">
      <c r="I18" s="66" t="s">
        <v>408</v>
      </c>
      <c r="J18" s="66"/>
      <c r="K18" s="66"/>
      <c r="L18" s="66"/>
      <c r="M18" s="66"/>
      <c r="N18" s="66"/>
    </row>
    <row r="19" spans="1:14">
      <c r="I19" s="66"/>
      <c r="J19" s="66"/>
      <c r="K19" s="66"/>
      <c r="L19" s="66"/>
      <c r="M19" s="66"/>
      <c r="N19" s="66"/>
    </row>
  </sheetData>
  <mergeCells count="4">
    <mergeCell ref="A1:F1"/>
    <mergeCell ref="A2:F2"/>
    <mergeCell ref="A17:F17"/>
    <mergeCell ref="I18:N19"/>
  </mergeCells>
  <hyperlinks>
    <hyperlink ref="G1" r:id="rId1" location="'ملخص%20عام'!A1" xr:uid="{00000000-0004-0000-2000-000000000000}"/>
  </hyperlinks>
  <pageMargins left="0.75" right="0.75" top="1" bottom="1" header="0.511811023622047" footer="0.511811023622047"/>
  <pageSetup paperSize="9" orientation="portrait" horizontalDpi="300" verticalDpi="30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19"/>
  <sheetViews>
    <sheetView rightToLeft="1" zoomScaleNormal="100" workbookViewId="0">
      <selection sqref="A1:F1"/>
    </sheetView>
  </sheetViews>
  <sheetFormatPr defaultColWidth="8.7109375" defaultRowHeight="15"/>
  <cols>
    <col min="1" max="1" width="32" customWidth="1"/>
    <col min="2" max="5" width="12" customWidth="1"/>
  </cols>
  <sheetData>
    <row r="1" spans="1:7" ht="17.25" customHeight="1">
      <c r="A1" s="84" t="s">
        <v>409</v>
      </c>
      <c r="B1" s="84"/>
      <c r="C1" s="84"/>
      <c r="D1" s="84"/>
      <c r="E1" s="84"/>
      <c r="F1" s="84"/>
      <c r="G1" s="21" t="s">
        <v>86</v>
      </c>
    </row>
    <row r="2" spans="1:7" ht="15" customHeight="1">
      <c r="A2" s="70" t="s">
        <v>410</v>
      </c>
      <c r="B2" s="70"/>
      <c r="C2" s="70"/>
      <c r="D2" s="70"/>
      <c r="E2" s="70"/>
      <c r="F2" s="70"/>
    </row>
    <row r="4" spans="1:7" ht="15.75" customHeight="1">
      <c r="A4" s="38" t="s">
        <v>411</v>
      </c>
      <c r="B4" s="38" t="s">
        <v>89</v>
      </c>
      <c r="C4" s="38" t="s">
        <v>90</v>
      </c>
      <c r="D4" s="38" t="s">
        <v>91</v>
      </c>
      <c r="E4" s="38" t="s">
        <v>92</v>
      </c>
    </row>
    <row r="5" spans="1:7" ht="15" customHeight="1">
      <c r="A5" s="14" t="s">
        <v>412</v>
      </c>
      <c r="B5" s="12">
        <v>315</v>
      </c>
      <c r="C5" s="12">
        <v>210</v>
      </c>
      <c r="D5" s="12">
        <v>293</v>
      </c>
      <c r="E5" s="12">
        <v>268</v>
      </c>
    </row>
    <row r="6" spans="1:7" ht="15" customHeight="1">
      <c r="A6" s="14" t="s">
        <v>413</v>
      </c>
      <c r="B6" s="12">
        <v>65</v>
      </c>
      <c r="C6" s="12">
        <v>33</v>
      </c>
      <c r="D6" s="12">
        <v>53</v>
      </c>
      <c r="E6" s="12">
        <v>36</v>
      </c>
    </row>
    <row r="7" spans="1:7" ht="15" customHeight="1">
      <c r="A7" s="14" t="s">
        <v>414</v>
      </c>
      <c r="B7" s="12">
        <v>14</v>
      </c>
      <c r="C7" s="12">
        <v>0</v>
      </c>
      <c r="D7" s="12">
        <v>0</v>
      </c>
      <c r="E7" s="12">
        <v>2</v>
      </c>
    </row>
    <row r="8" spans="1:7" ht="15" customHeight="1">
      <c r="A8" s="14" t="s">
        <v>415</v>
      </c>
      <c r="B8" s="12">
        <v>485</v>
      </c>
      <c r="C8" s="12">
        <v>344</v>
      </c>
      <c r="D8" s="12">
        <v>324</v>
      </c>
      <c r="E8" s="12">
        <v>481</v>
      </c>
    </row>
    <row r="9" spans="1:7" ht="15" customHeight="1">
      <c r="A9" s="40" t="s">
        <v>119</v>
      </c>
      <c r="B9" s="12">
        <v>0</v>
      </c>
      <c r="C9" s="12">
        <v>0</v>
      </c>
      <c r="D9" s="12">
        <v>0</v>
      </c>
      <c r="E9" s="12">
        <v>0</v>
      </c>
    </row>
    <row r="11" spans="1:7" ht="23.25" customHeight="1">
      <c r="A11" s="70" t="s">
        <v>416</v>
      </c>
      <c r="B11" s="70"/>
      <c r="C11" s="70"/>
      <c r="D11" s="70"/>
      <c r="E11" s="70"/>
      <c r="F11" s="70"/>
    </row>
    <row r="18" spans="9:14" ht="15" customHeight="1">
      <c r="I18" s="66" t="s">
        <v>417</v>
      </c>
      <c r="J18" s="66"/>
      <c r="K18" s="66"/>
      <c r="L18" s="66"/>
      <c r="M18" s="66"/>
      <c r="N18" s="66"/>
    </row>
    <row r="19" spans="9:14">
      <c r="I19" s="66"/>
      <c r="J19" s="66"/>
      <c r="K19" s="66"/>
      <c r="L19" s="66"/>
      <c r="M19" s="66"/>
      <c r="N19" s="66"/>
    </row>
  </sheetData>
  <mergeCells count="4">
    <mergeCell ref="A1:F1"/>
    <mergeCell ref="A2:F2"/>
    <mergeCell ref="A11:F11"/>
    <mergeCell ref="I18:N19"/>
  </mergeCells>
  <hyperlinks>
    <hyperlink ref="G1" r:id="rId1" location="'ملخص%20عام'!A1" xr:uid="{00000000-0004-0000-2100-000000000000}"/>
  </hyperlinks>
  <pageMargins left="0.75" right="0.75" top="1" bottom="1" header="0.511811023622047" footer="0.511811023622047"/>
  <pageSetup paperSize="9" orientation="portrait" horizontalDpi="300" verticalDpi="30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9"/>
  <sheetViews>
    <sheetView rightToLeft="1" zoomScaleNormal="100" workbookViewId="0">
      <selection activeCell="B5" sqref="B5"/>
    </sheetView>
  </sheetViews>
  <sheetFormatPr defaultColWidth="8.7109375" defaultRowHeight="15"/>
  <cols>
    <col min="1" max="1" width="10" customWidth="1"/>
    <col min="2" max="3" width="13" customWidth="1"/>
    <col min="4" max="4" width="16" customWidth="1"/>
    <col min="5" max="6" width="12" customWidth="1"/>
  </cols>
  <sheetData>
    <row r="1" spans="1:7" ht="17.25" customHeight="1">
      <c r="A1" s="84" t="s">
        <v>418</v>
      </c>
      <c r="B1" s="84"/>
      <c r="C1" s="84"/>
      <c r="D1" s="84"/>
      <c r="E1" s="84"/>
      <c r="F1" s="84"/>
      <c r="G1" s="21" t="s">
        <v>86</v>
      </c>
    </row>
    <row r="2" spans="1:7" ht="15" customHeight="1">
      <c r="A2" s="70" t="s">
        <v>419</v>
      </c>
      <c r="B2" s="70"/>
      <c r="C2" s="70"/>
      <c r="D2" s="70"/>
      <c r="E2" s="70"/>
      <c r="F2" s="70"/>
    </row>
    <row r="4" spans="1:7" ht="15.75" customHeight="1">
      <c r="A4" s="38" t="s">
        <v>232</v>
      </c>
      <c r="B4" s="38" t="s">
        <v>379</v>
      </c>
      <c r="C4" s="38" t="s">
        <v>380</v>
      </c>
      <c r="D4" s="38" t="s">
        <v>381</v>
      </c>
      <c r="E4" s="38" t="s">
        <v>382</v>
      </c>
      <c r="F4" s="38" t="s">
        <v>119</v>
      </c>
    </row>
    <row r="5" spans="1:7" ht="15" customHeight="1">
      <c r="A5" s="12">
        <v>2022</v>
      </c>
      <c r="B5" s="12">
        <v>387</v>
      </c>
      <c r="C5" s="12">
        <v>26</v>
      </c>
      <c r="D5" s="12">
        <v>20</v>
      </c>
      <c r="E5" s="12">
        <v>0</v>
      </c>
      <c r="F5" s="12">
        <v>446</v>
      </c>
    </row>
    <row r="6" spans="1:7" ht="15" customHeight="1">
      <c r="A6" s="12">
        <v>2023</v>
      </c>
      <c r="B6" s="12">
        <v>260</v>
      </c>
      <c r="C6" s="12">
        <v>18</v>
      </c>
      <c r="D6" s="12">
        <v>10</v>
      </c>
      <c r="E6" s="12">
        <v>0</v>
      </c>
      <c r="F6" s="12">
        <v>299</v>
      </c>
    </row>
    <row r="7" spans="1:7" ht="15" customHeight="1">
      <c r="A7" s="12">
        <v>2024</v>
      </c>
      <c r="B7" s="12">
        <v>314</v>
      </c>
      <c r="C7" s="12">
        <v>20</v>
      </c>
      <c r="D7" s="12">
        <v>15</v>
      </c>
      <c r="E7" s="12">
        <v>0</v>
      </c>
      <c r="F7" s="12">
        <v>321</v>
      </c>
    </row>
    <row r="8" spans="1:7" ht="15" customHeight="1">
      <c r="A8" s="12">
        <v>2025</v>
      </c>
      <c r="B8" s="12">
        <v>365</v>
      </c>
      <c r="C8" s="12">
        <v>30</v>
      </c>
      <c r="D8" s="12">
        <v>21</v>
      </c>
      <c r="E8" s="12">
        <v>0</v>
      </c>
      <c r="F8" s="12">
        <v>371</v>
      </c>
    </row>
    <row r="10" spans="1:7" ht="23.25" customHeight="1">
      <c r="A10" s="70" t="s">
        <v>420</v>
      </c>
      <c r="B10" s="70"/>
      <c r="C10" s="70"/>
      <c r="D10" s="70"/>
      <c r="E10" s="70"/>
      <c r="F10" s="70"/>
    </row>
    <row r="18" spans="9:14" ht="15" customHeight="1">
      <c r="I18" s="66" t="s">
        <v>421</v>
      </c>
      <c r="J18" s="66"/>
      <c r="K18" s="66"/>
      <c r="L18" s="66"/>
      <c r="M18" s="66"/>
      <c r="N18" s="66"/>
    </row>
    <row r="19" spans="9:14">
      <c r="I19" s="66"/>
      <c r="J19" s="66"/>
      <c r="K19" s="66"/>
      <c r="L19" s="66"/>
      <c r="M19" s="66"/>
      <c r="N19" s="66"/>
    </row>
  </sheetData>
  <mergeCells count="4">
    <mergeCell ref="A1:F1"/>
    <mergeCell ref="A2:F2"/>
    <mergeCell ref="A10:F10"/>
    <mergeCell ref="I18:N19"/>
  </mergeCells>
  <hyperlinks>
    <hyperlink ref="G1" r:id="rId1" location="'ملخص%20عام'!A1" xr:uid="{00000000-0004-0000-2200-000000000000}"/>
  </hyperlinks>
  <pageMargins left="0.75" right="0.75" top="1" bottom="1" header="0.511811023622047" footer="0.511811023622047"/>
  <pageSetup paperSize="9" orientation="portrait" horizontalDpi="300" verticalDpi="30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19"/>
  <sheetViews>
    <sheetView rightToLeft="1" zoomScaleNormal="100" workbookViewId="0">
      <selection sqref="A1:F1"/>
    </sheetView>
  </sheetViews>
  <sheetFormatPr defaultColWidth="8.7109375" defaultRowHeight="15"/>
  <cols>
    <col min="1" max="1" width="42" customWidth="1"/>
    <col min="2" max="5" width="12" customWidth="1"/>
  </cols>
  <sheetData>
    <row r="1" spans="1:7" ht="17.25" customHeight="1">
      <c r="A1" s="84" t="s">
        <v>422</v>
      </c>
      <c r="B1" s="84"/>
      <c r="C1" s="84"/>
      <c r="D1" s="84"/>
      <c r="E1" s="84"/>
      <c r="F1" s="84"/>
      <c r="G1" s="21" t="s">
        <v>86</v>
      </c>
    </row>
    <row r="2" spans="1:7" ht="15" customHeight="1">
      <c r="A2" s="70" t="s">
        <v>423</v>
      </c>
      <c r="B2" s="70"/>
      <c r="C2" s="70"/>
      <c r="D2" s="70"/>
      <c r="E2" s="70"/>
      <c r="F2" s="70"/>
    </row>
    <row r="4" spans="1:7" ht="15.75" customHeight="1">
      <c r="A4" s="38" t="s">
        <v>424</v>
      </c>
      <c r="B4" s="38" t="s">
        <v>89</v>
      </c>
      <c r="C4" s="38" t="s">
        <v>90</v>
      </c>
      <c r="D4" s="38" t="s">
        <v>91</v>
      </c>
      <c r="E4" s="38" t="s">
        <v>92</v>
      </c>
    </row>
    <row r="5" spans="1:7" ht="15" customHeight="1">
      <c r="A5" s="14" t="s">
        <v>425</v>
      </c>
      <c r="B5" s="12">
        <v>19</v>
      </c>
      <c r="C5" s="12">
        <v>21</v>
      </c>
      <c r="D5" s="12">
        <v>17</v>
      </c>
      <c r="E5" s="12">
        <v>19</v>
      </c>
    </row>
    <row r="6" spans="1:7" ht="15" customHeight="1">
      <c r="A6" s="14" t="s">
        <v>426</v>
      </c>
      <c r="B6" s="12">
        <v>32</v>
      </c>
      <c r="C6" s="12">
        <v>15</v>
      </c>
      <c r="D6" s="12">
        <v>52</v>
      </c>
      <c r="E6" s="12">
        <v>61</v>
      </c>
    </row>
    <row r="7" spans="1:7" ht="15" customHeight="1">
      <c r="A7" s="14" t="s">
        <v>427</v>
      </c>
      <c r="B7" s="12">
        <v>46</v>
      </c>
      <c r="C7" s="12">
        <v>34</v>
      </c>
      <c r="D7" s="12">
        <v>40</v>
      </c>
      <c r="E7" s="12">
        <v>50</v>
      </c>
    </row>
    <row r="8" spans="1:7" ht="15" customHeight="1">
      <c r="A8" s="14" t="s">
        <v>428</v>
      </c>
      <c r="B8" s="12">
        <v>18</v>
      </c>
      <c r="C8" s="12">
        <v>9</v>
      </c>
      <c r="D8" s="12">
        <v>12</v>
      </c>
      <c r="E8" s="12">
        <v>16</v>
      </c>
    </row>
    <row r="9" spans="1:7" ht="15" customHeight="1">
      <c r="A9" s="14" t="s">
        <v>429</v>
      </c>
      <c r="B9" s="12">
        <v>102</v>
      </c>
      <c r="C9" s="12">
        <v>89</v>
      </c>
      <c r="D9" s="12">
        <v>93</v>
      </c>
      <c r="E9" s="12">
        <v>146</v>
      </c>
    </row>
    <row r="10" spans="1:7" ht="15" customHeight="1">
      <c r="A10" s="14" t="s">
        <v>430</v>
      </c>
      <c r="B10" s="12">
        <v>2</v>
      </c>
      <c r="C10" s="12">
        <v>1</v>
      </c>
      <c r="D10" s="12">
        <v>2</v>
      </c>
      <c r="E10" s="12">
        <v>1</v>
      </c>
    </row>
    <row r="11" spans="1:7" ht="15" customHeight="1">
      <c r="A11" s="14" t="s">
        <v>431</v>
      </c>
      <c r="B11" s="12">
        <v>0</v>
      </c>
      <c r="C11" s="12">
        <v>0</v>
      </c>
      <c r="D11" s="12">
        <v>11</v>
      </c>
      <c r="E11" s="12">
        <v>18</v>
      </c>
    </row>
    <row r="12" spans="1:7" ht="15" customHeight="1">
      <c r="A12" s="14" t="s">
        <v>432</v>
      </c>
      <c r="B12" s="12">
        <v>0</v>
      </c>
      <c r="C12" s="12">
        <v>0</v>
      </c>
      <c r="D12" s="12">
        <v>393</v>
      </c>
      <c r="E12" s="12">
        <v>476</v>
      </c>
    </row>
    <row r="13" spans="1:7" ht="15" customHeight="1">
      <c r="A13" s="14" t="s">
        <v>433</v>
      </c>
      <c r="B13" s="12">
        <v>660</v>
      </c>
      <c r="C13" s="12">
        <v>418</v>
      </c>
      <c r="D13" s="12">
        <v>50</v>
      </c>
      <c r="E13" s="12">
        <v>0</v>
      </c>
    </row>
    <row r="14" spans="1:7" ht="15" customHeight="1">
      <c r="A14" s="40" t="s">
        <v>119</v>
      </c>
      <c r="B14" s="12">
        <v>0</v>
      </c>
      <c r="C14" s="12">
        <v>0</v>
      </c>
      <c r="D14" s="12">
        <v>0</v>
      </c>
      <c r="E14" s="12">
        <v>0</v>
      </c>
    </row>
    <row r="16" spans="1:7" ht="15" customHeight="1">
      <c r="A16" s="70" t="s">
        <v>434</v>
      </c>
      <c r="B16" s="70"/>
      <c r="C16" s="70"/>
      <c r="D16" s="70"/>
      <c r="E16" s="70"/>
      <c r="F16" s="70"/>
    </row>
    <row r="18" spans="9:14" ht="15" customHeight="1">
      <c r="I18" s="66" t="s">
        <v>435</v>
      </c>
      <c r="J18" s="66"/>
      <c r="K18" s="66"/>
      <c r="L18" s="66"/>
      <c r="M18" s="66"/>
      <c r="N18" s="66"/>
    </row>
    <row r="19" spans="9:14">
      <c r="I19" s="66"/>
      <c r="J19" s="66"/>
      <c r="K19" s="66"/>
      <c r="L19" s="66"/>
      <c r="M19" s="66"/>
      <c r="N19" s="66"/>
    </row>
  </sheetData>
  <mergeCells count="4">
    <mergeCell ref="A1:F1"/>
    <mergeCell ref="A2:F2"/>
    <mergeCell ref="A16:F16"/>
    <mergeCell ref="I18:N19"/>
  </mergeCells>
  <hyperlinks>
    <hyperlink ref="G1" r:id="rId1" location="'ملخص%20عام'!A1" xr:uid="{00000000-0004-0000-2300-000000000000}"/>
  </hyperlinks>
  <pageMargins left="0.75" right="0.75" top="1" bottom="1" header="0.511811023622047" footer="0.511811023622047"/>
  <pageSetup paperSize="9" orientation="portrait" horizontalDpi="300" verticalDpi="30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19"/>
  <sheetViews>
    <sheetView zoomScaleNormal="100" workbookViewId="0"/>
  </sheetViews>
  <sheetFormatPr defaultColWidth="8.7109375" defaultRowHeight="15"/>
  <cols>
    <col min="1" max="5" width="32" customWidth="1"/>
  </cols>
  <sheetData>
    <row r="1" spans="1:7" ht="15" customHeight="1">
      <c r="A1" s="54" t="s">
        <v>436</v>
      </c>
      <c r="G1" s="21" t="s">
        <v>86</v>
      </c>
    </row>
    <row r="2" spans="1:7" ht="15" customHeight="1">
      <c r="A2" s="11" t="s">
        <v>437</v>
      </c>
    </row>
    <row r="4" spans="1:7" ht="15" customHeight="1">
      <c r="A4" s="55" t="s">
        <v>88</v>
      </c>
      <c r="B4" s="56" t="s">
        <v>89</v>
      </c>
      <c r="C4" s="56" t="s">
        <v>90</v>
      </c>
      <c r="D4" s="56" t="s">
        <v>91</v>
      </c>
      <c r="E4" s="56" t="s">
        <v>92</v>
      </c>
    </row>
    <row r="5" spans="1:7" ht="15" customHeight="1">
      <c r="A5" s="11" t="s">
        <v>438</v>
      </c>
      <c r="B5">
        <v>58</v>
      </c>
      <c r="C5">
        <v>35</v>
      </c>
      <c r="D5">
        <v>31</v>
      </c>
      <c r="E5">
        <v>28</v>
      </c>
    </row>
    <row r="6" spans="1:7" ht="15" customHeight="1">
      <c r="A6" s="11" t="s">
        <v>439</v>
      </c>
      <c r="B6">
        <v>29</v>
      </c>
      <c r="C6">
        <v>17</v>
      </c>
      <c r="D6">
        <v>12</v>
      </c>
      <c r="E6">
        <v>13</v>
      </c>
    </row>
    <row r="7" spans="1:7" ht="15" customHeight="1">
      <c r="A7" s="11" t="s">
        <v>440</v>
      </c>
      <c r="B7">
        <v>87</v>
      </c>
      <c r="C7">
        <v>52</v>
      </c>
      <c r="D7">
        <v>43</v>
      </c>
      <c r="E7">
        <v>41</v>
      </c>
    </row>
    <row r="8" spans="1:7" ht="15" customHeight="1">
      <c r="A8" s="11" t="s">
        <v>441</v>
      </c>
      <c r="B8">
        <v>132</v>
      </c>
      <c r="C8">
        <v>88</v>
      </c>
      <c r="D8">
        <v>80</v>
      </c>
      <c r="E8">
        <v>79</v>
      </c>
    </row>
    <row r="9" spans="1:7" ht="15" customHeight="1">
      <c r="A9" s="11" t="s">
        <v>442</v>
      </c>
      <c r="B9">
        <v>17</v>
      </c>
      <c r="C9">
        <v>9</v>
      </c>
      <c r="D9">
        <v>5</v>
      </c>
      <c r="E9">
        <v>1</v>
      </c>
    </row>
    <row r="10" spans="1:7" ht="15" customHeight="1">
      <c r="A10" s="11" t="s">
        <v>443</v>
      </c>
      <c r="B10">
        <v>31</v>
      </c>
      <c r="C10">
        <v>39</v>
      </c>
      <c r="D10">
        <v>35</v>
      </c>
      <c r="E10">
        <v>34</v>
      </c>
    </row>
    <row r="11" spans="1:7" ht="15" customHeight="1">
      <c r="A11" s="11" t="s">
        <v>444</v>
      </c>
      <c r="B11">
        <v>11</v>
      </c>
      <c r="C11">
        <v>20</v>
      </c>
      <c r="D11">
        <v>18</v>
      </c>
      <c r="E11">
        <v>11</v>
      </c>
    </row>
    <row r="12" spans="1:7" ht="15" customHeight="1">
      <c r="A12" s="11" t="s">
        <v>445</v>
      </c>
      <c r="B12">
        <v>2</v>
      </c>
      <c r="C12">
        <v>5</v>
      </c>
      <c r="D12">
        <v>3</v>
      </c>
      <c r="E12">
        <v>5</v>
      </c>
    </row>
    <row r="14" spans="1:7" ht="15" customHeight="1">
      <c r="A14" s="11" t="s">
        <v>446</v>
      </c>
    </row>
    <row r="18" spans="9:14" ht="15" customHeight="1">
      <c r="I18" s="66" t="s">
        <v>447</v>
      </c>
      <c r="J18" s="66"/>
      <c r="K18" s="66"/>
      <c r="L18" s="66"/>
      <c r="M18" s="66"/>
      <c r="N18" s="66"/>
    </row>
    <row r="19" spans="9:14">
      <c r="I19" s="66"/>
      <c r="J19" s="66"/>
      <c r="K19" s="66"/>
      <c r="L19" s="66"/>
      <c r="M19" s="66"/>
      <c r="N19" s="66"/>
    </row>
  </sheetData>
  <mergeCells count="1">
    <mergeCell ref="I18:N19"/>
  </mergeCells>
  <hyperlinks>
    <hyperlink ref="G1" r:id="rId1" location="'ملخص%20عام'!A1" xr:uid="{00000000-0004-0000-2400-000000000000}"/>
  </hyperlinks>
  <pageMargins left="0.75" right="0.75" top="1" bottom="1" header="0.511811023622047" footer="0.511811023622047"/>
  <pageSetup paperSize="9" orientation="portrait" horizontalDpi="300" verticalDpi="30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20"/>
  <sheetViews>
    <sheetView zoomScaleNormal="100" workbookViewId="0">
      <selection activeCell="C18" sqref="C18"/>
    </sheetView>
  </sheetViews>
  <sheetFormatPr defaultColWidth="8.7109375" defaultRowHeight="15"/>
  <cols>
    <col min="1" max="5" width="32" customWidth="1"/>
  </cols>
  <sheetData>
    <row r="1" spans="1:7" ht="15" customHeight="1">
      <c r="A1" s="54" t="s">
        <v>448</v>
      </c>
      <c r="G1" s="21" t="s">
        <v>86</v>
      </c>
    </row>
    <row r="2" spans="1:7" ht="15" customHeight="1">
      <c r="A2" s="11" t="s">
        <v>449</v>
      </c>
    </row>
    <row r="4" spans="1:7" ht="15" customHeight="1">
      <c r="A4" s="55" t="s">
        <v>450</v>
      </c>
      <c r="B4" s="56" t="s">
        <v>89</v>
      </c>
      <c r="C4" s="56" t="s">
        <v>90</v>
      </c>
      <c r="D4" s="56" t="s">
        <v>91</v>
      </c>
      <c r="E4" s="56" t="s">
        <v>92</v>
      </c>
    </row>
    <row r="5" spans="1:7" ht="15" customHeight="1">
      <c r="A5" s="11" t="s">
        <v>389</v>
      </c>
      <c r="B5">
        <v>1</v>
      </c>
      <c r="C5">
        <v>3</v>
      </c>
      <c r="D5">
        <v>5</v>
      </c>
      <c r="E5">
        <v>5</v>
      </c>
    </row>
    <row r="6" spans="1:7" ht="15" customHeight="1">
      <c r="A6" s="11" t="s">
        <v>131</v>
      </c>
      <c r="B6">
        <v>12</v>
      </c>
      <c r="C6" s="11">
        <v>0</v>
      </c>
      <c r="D6" s="11">
        <v>0</v>
      </c>
      <c r="E6">
        <v>9</v>
      </c>
    </row>
    <row r="7" spans="1:7" ht="15" customHeight="1">
      <c r="A7" s="11" t="s">
        <v>124</v>
      </c>
      <c r="B7">
        <v>5</v>
      </c>
      <c r="C7">
        <v>4</v>
      </c>
      <c r="D7">
        <v>4</v>
      </c>
      <c r="E7">
        <v>4</v>
      </c>
    </row>
    <row r="8" spans="1:7" ht="15" customHeight="1">
      <c r="A8" s="11" t="s">
        <v>390</v>
      </c>
      <c r="B8">
        <v>10</v>
      </c>
      <c r="C8">
        <v>1</v>
      </c>
      <c r="D8">
        <v>1</v>
      </c>
      <c r="E8">
        <v>33</v>
      </c>
    </row>
    <row r="9" spans="1:7" ht="15" customHeight="1">
      <c r="A9" s="11" t="s">
        <v>391</v>
      </c>
      <c r="B9">
        <v>74</v>
      </c>
      <c r="C9">
        <v>35</v>
      </c>
      <c r="D9">
        <v>12</v>
      </c>
      <c r="E9">
        <v>33</v>
      </c>
    </row>
    <row r="10" spans="1:7" ht="15" customHeight="1">
      <c r="A10" s="11" t="s">
        <v>132</v>
      </c>
      <c r="B10">
        <v>29</v>
      </c>
      <c r="C10">
        <v>1</v>
      </c>
      <c r="D10">
        <v>13</v>
      </c>
      <c r="E10">
        <v>2</v>
      </c>
    </row>
    <row r="11" spans="1:7" ht="15" customHeight="1">
      <c r="A11" s="11" t="s">
        <v>392</v>
      </c>
      <c r="B11">
        <v>14</v>
      </c>
      <c r="C11">
        <v>13</v>
      </c>
      <c r="D11">
        <v>10</v>
      </c>
      <c r="E11">
        <v>1</v>
      </c>
    </row>
    <row r="12" spans="1:7" ht="15" customHeight="1">
      <c r="A12" s="11" t="s">
        <v>123</v>
      </c>
      <c r="B12">
        <v>5</v>
      </c>
      <c r="C12">
        <v>16</v>
      </c>
      <c r="D12">
        <v>14</v>
      </c>
      <c r="E12">
        <v>18</v>
      </c>
    </row>
    <row r="13" spans="1:7" ht="15" customHeight="1">
      <c r="A13" s="11" t="s">
        <v>127</v>
      </c>
      <c r="B13" s="11">
        <v>0</v>
      </c>
      <c r="C13">
        <v>7</v>
      </c>
      <c r="D13" s="11">
        <v>0</v>
      </c>
      <c r="E13">
        <v>6</v>
      </c>
    </row>
    <row r="14" spans="1:7" ht="15" customHeight="1">
      <c r="A14" s="11" t="s">
        <v>134</v>
      </c>
      <c r="B14">
        <v>4</v>
      </c>
      <c r="C14">
        <v>6</v>
      </c>
      <c r="D14">
        <v>3</v>
      </c>
      <c r="E14">
        <v>3</v>
      </c>
    </row>
    <row r="15" spans="1:7" ht="15" customHeight="1">
      <c r="A15" s="11" t="s">
        <v>393</v>
      </c>
      <c r="B15" s="11">
        <v>0</v>
      </c>
      <c r="C15">
        <v>1</v>
      </c>
      <c r="D15">
        <v>2</v>
      </c>
      <c r="E15">
        <v>1</v>
      </c>
    </row>
    <row r="16" spans="1:7" ht="15" customHeight="1">
      <c r="A16" s="11" t="s">
        <v>135</v>
      </c>
      <c r="B16" s="11">
        <v>0</v>
      </c>
      <c r="C16">
        <v>2</v>
      </c>
      <c r="D16" s="11">
        <v>0</v>
      </c>
      <c r="E16">
        <v>4</v>
      </c>
    </row>
    <row r="17" spans="1:14" ht="15" customHeight="1">
      <c r="A17" s="11" t="s">
        <v>130</v>
      </c>
      <c r="B17" s="11">
        <v>0</v>
      </c>
      <c r="C17" s="11">
        <v>0</v>
      </c>
      <c r="D17" s="11">
        <v>0</v>
      </c>
      <c r="E17">
        <v>6</v>
      </c>
    </row>
    <row r="18" spans="1:14" ht="15" customHeight="1">
      <c r="A18" s="11" t="s">
        <v>451</v>
      </c>
      <c r="B18" s="11">
        <v>0</v>
      </c>
      <c r="C18" s="11">
        <v>0</v>
      </c>
      <c r="D18" s="11">
        <v>0</v>
      </c>
      <c r="E18">
        <v>6</v>
      </c>
      <c r="I18" s="66" t="s">
        <v>452</v>
      </c>
      <c r="J18" s="66"/>
      <c r="K18" s="66"/>
      <c r="L18" s="66"/>
      <c r="M18" s="66"/>
      <c r="N18" s="66"/>
    </row>
    <row r="19" spans="1:14">
      <c r="I19" s="66"/>
      <c r="J19" s="66"/>
      <c r="K19" s="66"/>
      <c r="L19" s="66"/>
      <c r="M19" s="66"/>
      <c r="N19" s="66"/>
    </row>
    <row r="20" spans="1:14" ht="15" customHeight="1">
      <c r="A20" s="11" t="s">
        <v>453</v>
      </c>
    </row>
  </sheetData>
  <mergeCells count="1">
    <mergeCell ref="I18:N19"/>
  </mergeCells>
  <hyperlinks>
    <hyperlink ref="G1" r:id="rId1" location="'ملخص%20عام'!A1" xr:uid="{00000000-0004-0000-2500-000000000000}"/>
  </hyperlinks>
  <pageMargins left="0.75" right="0.75" top="1" bottom="1" header="0.511811023622047" footer="0.511811023622047"/>
  <pageSetup paperSize="9" orientation="portrait" horizontalDpi="300" verticalDpi="30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19"/>
  <sheetViews>
    <sheetView zoomScaleNormal="100" workbookViewId="0"/>
  </sheetViews>
  <sheetFormatPr defaultColWidth="8.7109375" defaultRowHeight="15"/>
  <cols>
    <col min="1" max="5" width="32" customWidth="1"/>
  </cols>
  <sheetData>
    <row r="1" spans="1:7" ht="15" customHeight="1">
      <c r="A1" s="54" t="s">
        <v>454</v>
      </c>
      <c r="G1" s="21" t="s">
        <v>86</v>
      </c>
    </row>
    <row r="2" spans="1:7" ht="15" customHeight="1">
      <c r="A2" s="11" t="s">
        <v>455</v>
      </c>
    </row>
    <row r="4" spans="1:7" ht="15" customHeight="1">
      <c r="A4" s="55" t="s">
        <v>399</v>
      </c>
      <c r="B4" s="56" t="s">
        <v>89</v>
      </c>
      <c r="C4" s="56" t="s">
        <v>90</v>
      </c>
      <c r="D4" s="56" t="s">
        <v>91</v>
      </c>
      <c r="E4" s="56" t="s">
        <v>92</v>
      </c>
    </row>
    <row r="5" spans="1:7" ht="15" customHeight="1">
      <c r="A5" s="11" t="s">
        <v>456</v>
      </c>
      <c r="B5" s="11">
        <v>0</v>
      </c>
      <c r="C5">
        <v>28</v>
      </c>
      <c r="D5">
        <v>23</v>
      </c>
      <c r="E5">
        <v>55</v>
      </c>
    </row>
    <row r="6" spans="1:7" ht="15" customHeight="1">
      <c r="A6" s="11" t="s">
        <v>106</v>
      </c>
      <c r="B6" s="11">
        <v>0</v>
      </c>
      <c r="C6">
        <v>20</v>
      </c>
      <c r="D6">
        <v>19</v>
      </c>
      <c r="E6">
        <v>13</v>
      </c>
    </row>
    <row r="7" spans="1:7" ht="15" customHeight="1">
      <c r="A7" s="11" t="s">
        <v>107</v>
      </c>
      <c r="B7" s="11">
        <v>0</v>
      </c>
      <c r="C7">
        <v>3</v>
      </c>
      <c r="D7" s="11">
        <v>0</v>
      </c>
      <c r="E7">
        <v>4</v>
      </c>
    </row>
    <row r="8" spans="1:7" ht="15" customHeight="1">
      <c r="A8" s="11" t="s">
        <v>108</v>
      </c>
      <c r="B8" s="11">
        <v>0</v>
      </c>
      <c r="C8" s="11">
        <v>0</v>
      </c>
      <c r="D8">
        <v>1</v>
      </c>
      <c r="E8">
        <v>1</v>
      </c>
    </row>
    <row r="9" spans="1:7" ht="15" customHeight="1">
      <c r="A9" s="11" t="s">
        <v>457</v>
      </c>
      <c r="B9" s="11">
        <v>0</v>
      </c>
      <c r="C9">
        <v>1</v>
      </c>
      <c r="D9" s="11">
        <v>0</v>
      </c>
      <c r="E9" s="11">
        <v>0</v>
      </c>
    </row>
    <row r="10" spans="1:7" ht="15" customHeight="1">
      <c r="A10" s="11" t="s">
        <v>458</v>
      </c>
      <c r="B10" s="11">
        <v>0</v>
      </c>
      <c r="C10" s="11">
        <v>0</v>
      </c>
      <c r="D10" s="11">
        <v>0</v>
      </c>
      <c r="E10" s="11">
        <v>0</v>
      </c>
    </row>
    <row r="11" spans="1:7" ht="15" customHeight="1">
      <c r="A11" s="11" t="s">
        <v>254</v>
      </c>
      <c r="B11" s="11">
        <v>0</v>
      </c>
      <c r="C11">
        <v>1</v>
      </c>
      <c r="D11" s="11">
        <v>0</v>
      </c>
      <c r="E11" s="11">
        <v>0</v>
      </c>
    </row>
    <row r="13" spans="1:7" ht="15" customHeight="1">
      <c r="A13" s="11" t="s">
        <v>459</v>
      </c>
    </row>
    <row r="18" spans="9:14" ht="15" customHeight="1">
      <c r="I18" s="66" t="s">
        <v>460</v>
      </c>
      <c r="J18" s="66"/>
      <c r="K18" s="66"/>
      <c r="L18" s="66"/>
      <c r="M18" s="66"/>
      <c r="N18" s="66"/>
    </row>
    <row r="19" spans="9:14">
      <c r="I19" s="66"/>
      <c r="J19" s="66"/>
      <c r="K19" s="66"/>
      <c r="L19" s="66"/>
      <c r="M19" s="66"/>
      <c r="N19" s="66"/>
    </row>
  </sheetData>
  <mergeCells count="1">
    <mergeCell ref="I18:N19"/>
  </mergeCells>
  <hyperlinks>
    <hyperlink ref="G1" r:id="rId1" location="'ملخص%20عام'!A1" xr:uid="{00000000-0004-0000-2600-000000000000}"/>
  </hyperlinks>
  <pageMargins left="0.75" right="0.75" top="1" bottom="1" header="0.511811023622047" footer="0.511811023622047"/>
  <pageSetup paperSize="9" orientation="portrait" horizontalDpi="300" verticalDpi="30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19"/>
  <sheetViews>
    <sheetView rightToLeft="1" zoomScaleNormal="100" workbookViewId="0">
      <selection activeCell="A8" sqref="A8:F8"/>
    </sheetView>
  </sheetViews>
  <sheetFormatPr defaultColWidth="8.7109375" defaultRowHeight="15"/>
  <cols>
    <col min="1" max="1" width="46" customWidth="1"/>
    <col min="2" max="5" width="14" customWidth="1"/>
  </cols>
  <sheetData>
    <row r="1" spans="1:7" ht="16.5" customHeight="1">
      <c r="A1" s="68" t="s">
        <v>461</v>
      </c>
      <c r="B1" s="68"/>
      <c r="C1" s="68"/>
      <c r="D1" s="68"/>
      <c r="E1" s="68"/>
      <c r="F1" s="68"/>
      <c r="G1" s="57" t="s">
        <v>86</v>
      </c>
    </row>
    <row r="2" spans="1:7" ht="15" customHeight="1">
      <c r="A2" s="73" t="s">
        <v>462</v>
      </c>
      <c r="B2" s="73"/>
      <c r="C2" s="73"/>
      <c r="D2" s="73"/>
      <c r="E2" s="73"/>
      <c r="F2" s="73"/>
    </row>
    <row r="4" spans="1:7" ht="15" customHeight="1">
      <c r="A4" s="36" t="s">
        <v>88</v>
      </c>
      <c r="B4" s="36" t="s">
        <v>89</v>
      </c>
      <c r="C4" s="36" t="s">
        <v>90</v>
      </c>
      <c r="D4" s="36" t="s">
        <v>91</v>
      </c>
      <c r="E4" s="36" t="s">
        <v>92</v>
      </c>
    </row>
    <row r="5" spans="1:7" ht="15" customHeight="1">
      <c r="A5" s="33" t="s">
        <v>463</v>
      </c>
      <c r="B5" s="15">
        <v>140</v>
      </c>
      <c r="C5" s="15">
        <v>130</v>
      </c>
      <c r="D5" s="15">
        <v>33</v>
      </c>
      <c r="E5" s="15">
        <v>31</v>
      </c>
    </row>
    <row r="7" spans="1:7" ht="15" customHeight="1">
      <c r="A7" s="73" t="s">
        <v>464</v>
      </c>
      <c r="B7" s="73"/>
      <c r="C7" s="73"/>
      <c r="D7" s="73"/>
      <c r="E7" s="73"/>
      <c r="F7" s="73"/>
    </row>
    <row r="8" spans="1:7" ht="15" customHeight="1">
      <c r="A8" s="76" t="s">
        <v>201</v>
      </c>
      <c r="B8" s="76"/>
      <c r="C8" s="76"/>
      <c r="D8" s="76"/>
      <c r="E8" s="76"/>
      <c r="F8" s="76"/>
    </row>
    <row r="10" spans="1:7">
      <c r="A10" s="43" t="s">
        <v>465</v>
      </c>
      <c r="B10" s="43">
        <v>140</v>
      </c>
      <c r="C10" s="43">
        <v>130</v>
      </c>
      <c r="D10" s="43">
        <v>33</v>
      </c>
      <c r="E10" s="43">
        <v>31</v>
      </c>
    </row>
    <row r="18" spans="9:14" ht="15" customHeight="1">
      <c r="I18" s="66" t="s">
        <v>466</v>
      </c>
      <c r="J18" s="66"/>
      <c r="K18" s="66"/>
      <c r="L18" s="66"/>
      <c r="M18" s="66"/>
      <c r="N18" s="66"/>
    </row>
    <row r="19" spans="9:14">
      <c r="I19" s="66"/>
      <c r="J19" s="66"/>
      <c r="K19" s="66"/>
      <c r="L19" s="66"/>
      <c r="M19" s="66"/>
      <c r="N19" s="66"/>
    </row>
  </sheetData>
  <mergeCells count="5">
    <mergeCell ref="A1:F1"/>
    <mergeCell ref="A2:F2"/>
    <mergeCell ref="A7:F7"/>
    <mergeCell ref="A8:F8"/>
    <mergeCell ref="I18:N19"/>
  </mergeCells>
  <pageMargins left="0.75" right="0.75" top="1" bottom="1" header="0.511811023622047" footer="0.511811023622047"/>
  <pageSetup paperSize="9" orientation="portrait" horizontalDpi="300" verticalDpi="30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9"/>
  <sheetViews>
    <sheetView rightToLeft="1" zoomScaleNormal="100" workbookViewId="0">
      <selection activeCell="K21" sqref="K21"/>
    </sheetView>
  </sheetViews>
  <sheetFormatPr defaultColWidth="8.7109375" defaultRowHeight="15"/>
  <cols>
    <col min="1" max="1" width="46" customWidth="1"/>
    <col min="2" max="5" width="14" customWidth="1"/>
  </cols>
  <sheetData>
    <row r="1" spans="1:7" ht="16.5" customHeight="1">
      <c r="A1" s="68" t="s">
        <v>467</v>
      </c>
      <c r="B1" s="68"/>
      <c r="C1" s="68"/>
      <c r="D1" s="68"/>
      <c r="E1" s="68"/>
      <c r="F1" s="68"/>
      <c r="G1" s="57" t="s">
        <v>86</v>
      </c>
    </row>
    <row r="2" spans="1:7" ht="15" customHeight="1">
      <c r="A2" s="73" t="s">
        <v>468</v>
      </c>
      <c r="B2" s="73"/>
      <c r="C2" s="73"/>
      <c r="D2" s="73"/>
      <c r="E2" s="73"/>
      <c r="F2" s="73"/>
    </row>
    <row r="4" spans="1:7" ht="15" customHeight="1">
      <c r="A4" s="36" t="s">
        <v>88</v>
      </c>
      <c r="B4" s="36" t="s">
        <v>89</v>
      </c>
      <c r="C4" s="36" t="s">
        <v>90</v>
      </c>
      <c r="D4" s="36" t="s">
        <v>91</v>
      </c>
      <c r="E4" s="36" t="s">
        <v>92</v>
      </c>
    </row>
    <row r="5" spans="1:7" ht="15" customHeight="1">
      <c r="A5" s="33" t="s">
        <v>469</v>
      </c>
      <c r="B5" s="15">
        <v>1507</v>
      </c>
      <c r="C5" s="15">
        <v>1350</v>
      </c>
      <c r="D5" s="15">
        <v>2057</v>
      </c>
      <c r="E5" s="15">
        <v>1570</v>
      </c>
    </row>
    <row r="7" spans="1:7" ht="15" customHeight="1">
      <c r="A7" s="73" t="s">
        <v>470</v>
      </c>
      <c r="B7" s="73"/>
      <c r="C7" s="73"/>
      <c r="D7" s="73"/>
      <c r="E7" s="73"/>
      <c r="F7" s="73"/>
    </row>
    <row r="8" spans="1:7" ht="15" customHeight="1">
      <c r="A8" s="76" t="s">
        <v>201</v>
      </c>
      <c r="B8" s="76"/>
      <c r="C8" s="76"/>
      <c r="D8" s="76"/>
      <c r="E8" s="76"/>
      <c r="F8" s="76"/>
    </row>
    <row r="18" spans="9:14" ht="15" customHeight="1">
      <c r="I18" s="66" t="s">
        <v>471</v>
      </c>
      <c r="J18" s="66"/>
      <c r="K18" s="66"/>
      <c r="L18" s="66"/>
      <c r="M18" s="66"/>
      <c r="N18" s="66"/>
    </row>
    <row r="19" spans="9:14">
      <c r="I19" s="66"/>
      <c r="J19" s="66"/>
      <c r="K19" s="66"/>
      <c r="L19" s="66"/>
      <c r="M19" s="66"/>
      <c r="N19" s="66"/>
    </row>
  </sheetData>
  <mergeCells count="5">
    <mergeCell ref="A1:F1"/>
    <mergeCell ref="A2:F2"/>
    <mergeCell ref="A7:F7"/>
    <mergeCell ref="A8:F8"/>
    <mergeCell ref="I18:N19"/>
  </mergeCells>
  <pageMargins left="0.75" right="0.75" top="1" bottom="1" header="0.511811023622047" footer="0.511811023622047"/>
  <pageSetup paperSize="9" orientation="portrait" horizontalDpi="300" verticalDpi="30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19"/>
  <sheetViews>
    <sheetView rightToLeft="1" zoomScaleNormal="100" workbookViewId="0">
      <selection sqref="A1:F1"/>
    </sheetView>
  </sheetViews>
  <sheetFormatPr defaultColWidth="8.7109375" defaultRowHeight="15"/>
  <cols>
    <col min="1" max="1" width="46" customWidth="1"/>
    <col min="2" max="5" width="14" customWidth="1"/>
  </cols>
  <sheetData>
    <row r="1" spans="1:7" ht="16.5" customHeight="1">
      <c r="A1" s="68" t="s">
        <v>472</v>
      </c>
      <c r="B1" s="68"/>
      <c r="C1" s="68"/>
      <c r="D1" s="68"/>
      <c r="E1" s="68"/>
      <c r="F1" s="68"/>
      <c r="G1" s="57" t="s">
        <v>86</v>
      </c>
    </row>
    <row r="2" spans="1:7" ht="15" customHeight="1">
      <c r="A2" s="73" t="s">
        <v>473</v>
      </c>
      <c r="B2" s="73"/>
      <c r="C2" s="73"/>
      <c r="D2" s="73"/>
      <c r="E2" s="73"/>
      <c r="F2" s="73"/>
    </row>
    <row r="4" spans="1:7" ht="15" customHeight="1">
      <c r="A4" s="36" t="s">
        <v>88</v>
      </c>
      <c r="B4" s="36" t="s">
        <v>89</v>
      </c>
      <c r="C4" s="36" t="s">
        <v>90</v>
      </c>
      <c r="D4" s="36" t="s">
        <v>91</v>
      </c>
      <c r="E4" s="36" t="s">
        <v>92</v>
      </c>
    </row>
    <row r="5" spans="1:7" ht="15" customHeight="1">
      <c r="A5" s="33" t="s">
        <v>474</v>
      </c>
      <c r="B5" s="15">
        <v>66951</v>
      </c>
      <c r="C5" s="15">
        <v>69787</v>
      </c>
      <c r="D5" s="15">
        <v>72329</v>
      </c>
      <c r="E5" s="15">
        <v>74411</v>
      </c>
    </row>
    <row r="6" spans="1:7" ht="15" customHeight="1">
      <c r="A6" s="17" t="s">
        <v>475</v>
      </c>
      <c r="C6" s="15">
        <f>C5-B5</f>
        <v>2836</v>
      </c>
      <c r="D6" s="15">
        <f>D5-C5</f>
        <v>2542</v>
      </c>
      <c r="E6" s="15">
        <f>E5-D5</f>
        <v>2082</v>
      </c>
    </row>
    <row r="7" spans="1:7" ht="15" customHeight="1">
      <c r="A7" s="73" t="s">
        <v>476</v>
      </c>
      <c r="B7" s="73"/>
      <c r="C7" s="73"/>
      <c r="D7" s="73"/>
      <c r="E7" s="73"/>
      <c r="F7" s="73"/>
    </row>
    <row r="8" spans="1:7" ht="15" customHeight="1">
      <c r="A8" s="76" t="s">
        <v>201</v>
      </c>
      <c r="B8" s="76"/>
      <c r="C8" s="76"/>
      <c r="D8" s="76"/>
      <c r="E8" s="76"/>
      <c r="F8" s="76"/>
    </row>
    <row r="18" spans="9:14" ht="15" customHeight="1">
      <c r="I18" s="66" t="s">
        <v>477</v>
      </c>
      <c r="J18" s="66"/>
      <c r="K18" s="66"/>
      <c r="L18" s="66"/>
      <c r="M18" s="66"/>
      <c r="N18" s="66"/>
    </row>
    <row r="19" spans="9:14">
      <c r="I19" s="66"/>
      <c r="J19" s="66"/>
      <c r="K19" s="66"/>
      <c r="L19" s="66"/>
      <c r="M19" s="66"/>
      <c r="N19" s="66"/>
    </row>
  </sheetData>
  <mergeCells count="5">
    <mergeCell ref="A1:F1"/>
    <mergeCell ref="A2:F2"/>
    <mergeCell ref="A7:F7"/>
    <mergeCell ref="A8:F8"/>
    <mergeCell ref="I18:N19"/>
  </mergeCells>
  <pageMargins left="0.75" right="0.75" top="1" bottom="1" header="0.511811023622047" footer="0.511811023622047"/>
  <pageSetup paperSize="9" orientation="portrait" horizontalDpi="300" verticalDpi="30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19"/>
  <sheetViews>
    <sheetView rightToLeft="1" zoomScaleNormal="100" workbookViewId="0">
      <selection activeCell="G16" sqref="G16"/>
    </sheetView>
  </sheetViews>
  <sheetFormatPr defaultColWidth="8.7109375" defaultRowHeight="15"/>
  <cols>
    <col min="1" max="1" width="46" customWidth="1"/>
    <col min="2" max="5" width="14" customWidth="1"/>
  </cols>
  <sheetData>
    <row r="1" spans="1:7" ht="16.5" customHeight="1">
      <c r="A1" s="68" t="s">
        <v>478</v>
      </c>
      <c r="B1" s="68"/>
      <c r="C1" s="68"/>
      <c r="D1" s="68"/>
      <c r="E1" s="68"/>
      <c r="F1" s="68"/>
      <c r="G1" s="57" t="s">
        <v>86</v>
      </c>
    </row>
    <row r="2" spans="1:7" ht="15" customHeight="1">
      <c r="A2" s="73" t="s">
        <v>479</v>
      </c>
      <c r="B2" s="73"/>
      <c r="C2" s="73"/>
      <c r="D2" s="73"/>
      <c r="E2" s="73"/>
      <c r="F2" s="73"/>
    </row>
    <row r="4" spans="1:7" ht="15" customHeight="1">
      <c r="A4" s="36" t="s">
        <v>480</v>
      </c>
      <c r="B4" s="36" t="s">
        <v>481</v>
      </c>
      <c r="C4" s="36" t="s">
        <v>163</v>
      </c>
    </row>
    <row r="5" spans="1:7" ht="15" customHeight="1">
      <c r="A5" s="33" t="s">
        <v>482</v>
      </c>
      <c r="B5" s="15">
        <v>34935</v>
      </c>
      <c r="C5" s="34">
        <f>B5/72329</f>
        <v>0.48300128579131468</v>
      </c>
    </row>
    <row r="6" spans="1:7" ht="15" customHeight="1">
      <c r="A6" s="33" t="s">
        <v>483</v>
      </c>
      <c r="B6" s="15">
        <v>20744</v>
      </c>
      <c r="C6" s="34">
        <f>B6/72329</f>
        <v>0.28680059174051903</v>
      </c>
    </row>
    <row r="7" spans="1:7" ht="15" customHeight="1">
      <c r="A7" s="33" t="s">
        <v>484</v>
      </c>
      <c r="B7" s="15">
        <v>10265</v>
      </c>
      <c r="C7" s="34">
        <f>B7/72329</f>
        <v>0.14192094457271634</v>
      </c>
    </row>
    <row r="8" spans="1:7" ht="15" customHeight="1">
      <c r="A8" s="33" t="s">
        <v>117</v>
      </c>
      <c r="B8" s="15">
        <v>2744</v>
      </c>
      <c r="C8" s="34">
        <f>B8/72329</f>
        <v>3.7937756639798696E-2</v>
      </c>
    </row>
    <row r="9" spans="1:7" ht="15" customHeight="1">
      <c r="A9" s="33" t="s">
        <v>485</v>
      </c>
      <c r="B9" s="58">
        <f>SUM(B5:B8)</f>
        <v>68688</v>
      </c>
      <c r="C9" s="59">
        <f>SUM(C5:C8)</f>
        <v>0.94966057874434873</v>
      </c>
    </row>
    <row r="10" spans="1:7" ht="15" customHeight="1">
      <c r="A10" s="17" t="s">
        <v>486</v>
      </c>
      <c r="B10" s="15">
        <f>72329-B9</f>
        <v>3641</v>
      </c>
      <c r="C10" s="34">
        <f>1-C9</f>
        <v>5.0339421255651273E-2</v>
      </c>
    </row>
    <row r="11" spans="1:7" ht="15" customHeight="1">
      <c r="A11" s="37" t="s">
        <v>201</v>
      </c>
    </row>
    <row r="12" spans="1:7" ht="15" customHeight="1">
      <c r="A12" s="73" t="s">
        <v>487</v>
      </c>
      <c r="B12" s="73"/>
      <c r="C12" s="73"/>
      <c r="D12" s="73"/>
      <c r="E12" s="73"/>
      <c r="F12" s="73"/>
    </row>
    <row r="13" spans="1:7" ht="15" customHeight="1">
      <c r="A13" s="76" t="s">
        <v>201</v>
      </c>
      <c r="B13" s="76"/>
      <c r="C13" s="76"/>
      <c r="D13" s="76"/>
      <c r="E13" s="76"/>
      <c r="F13" s="76"/>
    </row>
    <row r="18" spans="9:14" ht="15" customHeight="1">
      <c r="I18" s="66" t="s">
        <v>488</v>
      </c>
      <c r="J18" s="66"/>
      <c r="K18" s="66"/>
      <c r="L18" s="66"/>
      <c r="M18" s="66"/>
      <c r="N18" s="66"/>
    </row>
    <row r="19" spans="9:14">
      <c r="I19" s="66"/>
      <c r="J19" s="66"/>
      <c r="K19" s="66"/>
      <c r="L19" s="66"/>
      <c r="M19" s="66"/>
      <c r="N19" s="66"/>
    </row>
  </sheetData>
  <mergeCells count="5">
    <mergeCell ref="A1:F1"/>
    <mergeCell ref="A2:F2"/>
    <mergeCell ref="A12:F12"/>
    <mergeCell ref="A13:F13"/>
    <mergeCell ref="I18:N19"/>
  </mergeCells>
  <pageMargins left="0.75" right="0.75" top="1" bottom="1" header="0.511811023622047" footer="0.511811023622047"/>
  <pageSetup paperSize="9" orientation="portrait" horizontalDpi="300" verticalDpi="30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13"/>
  <sheetViews>
    <sheetView rightToLeft="1" zoomScaleNormal="100" workbookViewId="0">
      <selection activeCell="B5" sqref="B5"/>
    </sheetView>
  </sheetViews>
  <sheetFormatPr defaultColWidth="8.7109375" defaultRowHeight="15"/>
  <cols>
    <col min="1" max="1" width="42" customWidth="1"/>
    <col min="2" max="14" width="14" customWidth="1"/>
  </cols>
  <sheetData>
    <row r="1" spans="1:14" ht="18">
      <c r="A1" s="60" t="s">
        <v>489</v>
      </c>
      <c r="G1" s="61" t="s">
        <v>86</v>
      </c>
    </row>
    <row r="2" spans="1:14">
      <c r="A2" s="62" t="s">
        <v>490</v>
      </c>
    </row>
    <row r="4" spans="1:14" ht="15.75">
      <c r="A4" s="35" t="s">
        <v>88</v>
      </c>
      <c r="B4" s="35" t="s">
        <v>89</v>
      </c>
      <c r="C4" s="35" t="s">
        <v>90</v>
      </c>
      <c r="D4" s="35" t="s">
        <v>91</v>
      </c>
      <c r="E4" s="35" t="s">
        <v>92</v>
      </c>
    </row>
    <row r="5" spans="1:14">
      <c r="A5" s="24" t="s">
        <v>491</v>
      </c>
      <c r="B5" s="19">
        <v>116655</v>
      </c>
      <c r="C5" s="19">
        <v>55000</v>
      </c>
      <c r="D5" s="19" t="s">
        <v>6</v>
      </c>
      <c r="E5" s="19" t="s">
        <v>6</v>
      </c>
    </row>
    <row r="6" spans="1:14">
      <c r="A6" s="24" t="s">
        <v>492</v>
      </c>
      <c r="B6" s="19">
        <v>17212</v>
      </c>
      <c r="C6" s="19" t="s">
        <v>6</v>
      </c>
      <c r="D6" s="19" t="s">
        <v>6</v>
      </c>
      <c r="E6" s="19" t="s">
        <v>6</v>
      </c>
    </row>
    <row r="7" spans="1:14">
      <c r="A7" s="24" t="s">
        <v>493</v>
      </c>
      <c r="B7" s="19">
        <v>13925</v>
      </c>
      <c r="C7" s="19">
        <v>11000</v>
      </c>
      <c r="D7" s="19" t="s">
        <v>6</v>
      </c>
      <c r="E7" s="19" t="s">
        <v>6</v>
      </c>
    </row>
    <row r="8" spans="1:14">
      <c r="A8" s="24" t="s">
        <v>494</v>
      </c>
      <c r="B8" s="19">
        <v>147792</v>
      </c>
      <c r="C8" s="19">
        <v>66000</v>
      </c>
      <c r="D8" s="19" t="s">
        <v>6</v>
      </c>
      <c r="E8" s="19" t="s">
        <v>6</v>
      </c>
    </row>
    <row r="10" spans="1:14" ht="72" customHeight="1">
      <c r="A10" s="72" t="s">
        <v>495</v>
      </c>
      <c r="B10" s="72"/>
      <c r="C10" s="72"/>
      <c r="D10" s="72"/>
      <c r="E10" s="72"/>
      <c r="F10" s="72"/>
      <c r="G10" s="72"/>
      <c r="H10" s="72"/>
      <c r="I10" s="72"/>
      <c r="J10" s="72"/>
      <c r="K10" s="72"/>
      <c r="L10" s="72"/>
      <c r="M10" s="72"/>
      <c r="N10" s="72"/>
    </row>
    <row r="11" spans="1:14">
      <c r="A11" s="72"/>
      <c r="B11" s="72"/>
      <c r="C11" s="72"/>
      <c r="D11" s="72"/>
      <c r="E11" s="72"/>
      <c r="F11" s="72"/>
      <c r="G11" s="72"/>
      <c r="H11" s="72"/>
      <c r="I11" s="72"/>
      <c r="J11" s="72"/>
      <c r="K11" s="72"/>
      <c r="L11" s="72"/>
      <c r="M11" s="72"/>
      <c r="N11" s="72"/>
    </row>
    <row r="12" spans="1:14">
      <c r="A12" s="72"/>
      <c r="B12" s="72"/>
      <c r="C12" s="72"/>
      <c r="D12" s="72"/>
      <c r="E12" s="72"/>
      <c r="F12" s="72"/>
      <c r="G12" s="72"/>
      <c r="H12" s="72"/>
      <c r="I12" s="72"/>
      <c r="J12" s="72"/>
      <c r="K12" s="72"/>
      <c r="L12" s="72"/>
      <c r="M12" s="72"/>
      <c r="N12" s="72"/>
    </row>
    <row r="13" spans="1:14">
      <c r="A13" s="72"/>
      <c r="B13" s="72"/>
      <c r="C13" s="72"/>
      <c r="D13" s="72"/>
      <c r="E13" s="72"/>
      <c r="F13" s="72"/>
      <c r="G13" s="72"/>
      <c r="H13" s="72"/>
      <c r="I13" s="72"/>
      <c r="J13" s="72"/>
      <c r="K13" s="72"/>
      <c r="L13" s="72"/>
      <c r="M13" s="72"/>
      <c r="N13" s="72"/>
    </row>
  </sheetData>
  <mergeCells count="1">
    <mergeCell ref="A10:N13"/>
  </mergeCell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10"/>
  <sheetViews>
    <sheetView rightToLeft="1" zoomScaleNormal="100" workbookViewId="0">
      <selection activeCell="A8" sqref="A8:N10"/>
    </sheetView>
  </sheetViews>
  <sheetFormatPr defaultColWidth="8.7109375" defaultRowHeight="15"/>
  <cols>
    <col min="1" max="1" width="42" customWidth="1"/>
    <col min="2" max="14" width="14" customWidth="1"/>
  </cols>
  <sheetData>
    <row r="1" spans="1:14" ht="18">
      <c r="A1" s="60" t="s">
        <v>496</v>
      </c>
      <c r="G1" s="61" t="s">
        <v>86</v>
      </c>
    </row>
    <row r="2" spans="1:14">
      <c r="A2" s="62" t="s">
        <v>497</v>
      </c>
    </row>
    <row r="4" spans="1:14" ht="15.75">
      <c r="A4" s="35" t="s">
        <v>88</v>
      </c>
      <c r="B4" s="35" t="s">
        <v>89</v>
      </c>
      <c r="C4" s="35" t="s">
        <v>90</v>
      </c>
      <c r="D4" s="35" t="s">
        <v>91</v>
      </c>
      <c r="E4" s="35" t="s">
        <v>92</v>
      </c>
    </row>
    <row r="5" spans="1:14">
      <c r="A5" s="24" t="s">
        <v>498</v>
      </c>
      <c r="B5" s="19">
        <v>91</v>
      </c>
      <c r="C5" s="19">
        <v>93</v>
      </c>
      <c r="D5" s="19">
        <v>51</v>
      </c>
      <c r="E5" s="19">
        <v>48</v>
      </c>
    </row>
    <row r="6" spans="1:14">
      <c r="A6" s="24" t="s">
        <v>499</v>
      </c>
      <c r="B6" s="19">
        <v>130</v>
      </c>
      <c r="C6" s="19">
        <v>115</v>
      </c>
      <c r="D6" s="19">
        <v>59</v>
      </c>
      <c r="E6" s="19">
        <v>81</v>
      </c>
    </row>
    <row r="8" spans="1:14" ht="48" customHeight="1">
      <c r="A8" s="72" t="s">
        <v>500</v>
      </c>
      <c r="B8" s="72"/>
      <c r="C8" s="72"/>
      <c r="D8" s="72"/>
      <c r="E8" s="72"/>
      <c r="F8" s="72"/>
      <c r="G8" s="72"/>
      <c r="H8" s="72"/>
      <c r="I8" s="72"/>
      <c r="J8" s="72"/>
      <c r="K8" s="72"/>
      <c r="L8" s="72"/>
      <c r="M8" s="72"/>
      <c r="N8" s="72"/>
    </row>
    <row r="9" spans="1:14">
      <c r="A9" s="72"/>
      <c r="B9" s="72"/>
      <c r="C9" s="72"/>
      <c r="D9" s="72"/>
      <c r="E9" s="72"/>
      <c r="F9" s="72"/>
      <c r="G9" s="72"/>
      <c r="H9" s="72"/>
      <c r="I9" s="72"/>
      <c r="J9" s="72"/>
      <c r="K9" s="72"/>
      <c r="L9" s="72"/>
      <c r="M9" s="72"/>
      <c r="N9" s="72"/>
    </row>
    <row r="10" spans="1:14">
      <c r="A10" s="72"/>
      <c r="B10" s="72"/>
      <c r="C10" s="72"/>
      <c r="D10" s="72"/>
      <c r="E10" s="72"/>
      <c r="F10" s="72"/>
      <c r="G10" s="72"/>
      <c r="H10" s="72"/>
      <c r="I10" s="72"/>
      <c r="J10" s="72"/>
      <c r="K10" s="72"/>
      <c r="L10" s="72"/>
      <c r="M10" s="72"/>
      <c r="N10" s="72"/>
    </row>
  </sheetData>
  <mergeCells count="1">
    <mergeCell ref="A8:N10"/>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N13"/>
  <sheetViews>
    <sheetView rightToLeft="1" zoomScaleNormal="100" workbookViewId="0">
      <selection activeCell="C6" sqref="C6"/>
    </sheetView>
  </sheetViews>
  <sheetFormatPr defaultColWidth="8.7109375" defaultRowHeight="15"/>
  <cols>
    <col min="1" max="1" width="42" customWidth="1"/>
    <col min="2" max="14" width="14" customWidth="1"/>
  </cols>
  <sheetData>
    <row r="1" spans="1:14" ht="18">
      <c r="A1" s="60" t="s">
        <v>501</v>
      </c>
      <c r="G1" s="61" t="s">
        <v>86</v>
      </c>
    </row>
    <row r="2" spans="1:14">
      <c r="A2" s="62" t="s">
        <v>520</v>
      </c>
    </row>
    <row r="4" spans="1:14" ht="15.75">
      <c r="A4" s="35" t="s">
        <v>88</v>
      </c>
      <c r="B4" s="35" t="s">
        <v>89</v>
      </c>
      <c r="C4" s="35" t="s">
        <v>90</v>
      </c>
      <c r="D4" s="35" t="s">
        <v>91</v>
      </c>
      <c r="E4" s="35" t="s">
        <v>92</v>
      </c>
    </row>
    <row r="5" spans="1:14">
      <c r="A5" s="24" t="s">
        <v>502</v>
      </c>
      <c r="B5" s="19">
        <v>0</v>
      </c>
      <c r="C5" s="19">
        <v>0</v>
      </c>
      <c r="D5" s="19">
        <v>1636</v>
      </c>
      <c r="E5" s="19">
        <v>1350</v>
      </c>
    </row>
    <row r="6" spans="1:14">
      <c r="A6" s="24" t="s">
        <v>503</v>
      </c>
      <c r="B6" s="19">
        <v>0</v>
      </c>
      <c r="C6" s="19">
        <v>0</v>
      </c>
      <c r="D6" s="19">
        <v>18</v>
      </c>
      <c r="E6" s="19">
        <v>29</v>
      </c>
    </row>
    <row r="7" spans="1:14">
      <c r="A7" s="24" t="s">
        <v>504</v>
      </c>
      <c r="B7" s="19">
        <v>0</v>
      </c>
      <c r="C7" s="19">
        <v>0</v>
      </c>
      <c r="D7" s="19">
        <v>286</v>
      </c>
      <c r="E7" s="19">
        <v>296</v>
      </c>
    </row>
    <row r="8" spans="1:14">
      <c r="A8" s="24" t="s">
        <v>505</v>
      </c>
      <c r="B8" s="19">
        <v>14</v>
      </c>
      <c r="C8" s="19">
        <v>2</v>
      </c>
      <c r="D8" s="19">
        <v>0</v>
      </c>
      <c r="E8" s="19">
        <v>0</v>
      </c>
    </row>
    <row r="10" spans="1:14" ht="72" customHeight="1">
      <c r="A10" s="72" t="s">
        <v>506</v>
      </c>
      <c r="B10" s="72"/>
      <c r="C10" s="72"/>
      <c r="D10" s="72"/>
      <c r="E10" s="72"/>
      <c r="F10" s="72"/>
      <c r="G10" s="72"/>
      <c r="H10" s="72"/>
      <c r="I10" s="72"/>
      <c r="J10" s="72"/>
      <c r="K10" s="72"/>
      <c r="L10" s="72"/>
      <c r="M10" s="72"/>
      <c r="N10" s="72"/>
    </row>
    <row r="11" spans="1:14">
      <c r="A11" s="72"/>
      <c r="B11" s="72"/>
      <c r="C11" s="72"/>
      <c r="D11" s="72"/>
      <c r="E11" s="72"/>
      <c r="F11" s="72"/>
      <c r="G11" s="72"/>
      <c r="H11" s="72"/>
      <c r="I11" s="72"/>
      <c r="J11" s="72"/>
      <c r="K11" s="72"/>
      <c r="L11" s="72"/>
      <c r="M11" s="72"/>
      <c r="N11" s="72"/>
    </row>
    <row r="12" spans="1:14">
      <c r="A12" s="72"/>
      <c r="B12" s="72"/>
      <c r="C12" s="72"/>
      <c r="D12" s="72"/>
      <c r="E12" s="72"/>
      <c r="F12" s="72"/>
      <c r="G12" s="72"/>
      <c r="H12" s="72"/>
      <c r="I12" s="72"/>
      <c r="J12" s="72"/>
      <c r="K12" s="72"/>
      <c r="L12" s="72"/>
      <c r="M12" s="72"/>
      <c r="N12" s="72"/>
    </row>
    <row r="13" spans="1:14">
      <c r="A13" s="72"/>
      <c r="B13" s="72"/>
      <c r="C13" s="72"/>
      <c r="D13" s="72"/>
      <c r="E13" s="72"/>
      <c r="F13" s="72"/>
      <c r="G13" s="72"/>
      <c r="H13" s="72"/>
      <c r="I13" s="72"/>
      <c r="J13" s="72"/>
      <c r="K13" s="72"/>
      <c r="L13" s="72"/>
      <c r="M13" s="72"/>
      <c r="N13" s="72"/>
    </row>
  </sheetData>
  <mergeCells count="1">
    <mergeCell ref="A10:N13"/>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N12"/>
  <sheetViews>
    <sheetView rightToLeft="1" zoomScaleNormal="100" workbookViewId="0">
      <selection activeCell="D5" sqref="D5"/>
    </sheetView>
  </sheetViews>
  <sheetFormatPr defaultColWidth="8.7109375" defaultRowHeight="15"/>
  <cols>
    <col min="1" max="1" width="42" customWidth="1"/>
    <col min="2" max="14" width="14" customWidth="1"/>
  </cols>
  <sheetData>
    <row r="1" spans="1:14" ht="18">
      <c r="A1" s="60" t="s">
        <v>507</v>
      </c>
      <c r="G1" s="61" t="s">
        <v>86</v>
      </c>
    </row>
    <row r="2" spans="1:14">
      <c r="A2" s="62" t="s">
        <v>508</v>
      </c>
    </row>
    <row r="4" spans="1:14" ht="15.75">
      <c r="A4" s="35" t="s">
        <v>88</v>
      </c>
      <c r="B4" s="35" t="s">
        <v>89</v>
      </c>
      <c r="C4" s="35" t="s">
        <v>90</v>
      </c>
      <c r="D4" s="35" t="s">
        <v>91</v>
      </c>
      <c r="E4" s="35" t="s">
        <v>92</v>
      </c>
    </row>
    <row r="5" spans="1:14">
      <c r="A5" s="24" t="s">
        <v>509</v>
      </c>
      <c r="B5" s="19" t="s">
        <v>6</v>
      </c>
      <c r="C5" s="19" t="s">
        <v>6</v>
      </c>
      <c r="D5" s="19">
        <v>82</v>
      </c>
      <c r="E5" s="19" t="s">
        <v>6</v>
      </c>
    </row>
    <row r="6" spans="1:14">
      <c r="A6" s="24" t="s">
        <v>510</v>
      </c>
      <c r="B6" s="19" t="s">
        <v>6</v>
      </c>
      <c r="C6" s="19" t="s">
        <v>6</v>
      </c>
      <c r="D6" s="19">
        <v>1070</v>
      </c>
      <c r="E6" s="19" t="s">
        <v>6</v>
      </c>
    </row>
    <row r="8" spans="1:14" ht="96" customHeight="1">
      <c r="A8" s="72" t="s">
        <v>511</v>
      </c>
      <c r="B8" s="72"/>
      <c r="C8" s="72"/>
      <c r="D8" s="72"/>
      <c r="E8" s="72"/>
      <c r="F8" s="72"/>
      <c r="G8" s="72"/>
      <c r="H8" s="72"/>
      <c r="I8" s="72"/>
      <c r="J8" s="72"/>
      <c r="K8" s="72"/>
      <c r="L8" s="72"/>
      <c r="M8" s="72"/>
      <c r="N8" s="72"/>
    </row>
    <row r="9" spans="1:14">
      <c r="A9" s="72"/>
      <c r="B9" s="72"/>
      <c r="C9" s="72"/>
      <c r="D9" s="72"/>
      <c r="E9" s="72"/>
      <c r="F9" s="72"/>
      <c r="G9" s="72"/>
      <c r="H9" s="72"/>
      <c r="I9" s="72"/>
      <c r="J9" s="72"/>
      <c r="K9" s="72"/>
      <c r="L9" s="72"/>
      <c r="M9" s="72"/>
      <c r="N9" s="72"/>
    </row>
    <row r="10" spans="1:14">
      <c r="A10" s="72"/>
      <c r="B10" s="72"/>
      <c r="C10" s="72"/>
      <c r="D10" s="72"/>
      <c r="E10" s="72"/>
      <c r="F10" s="72"/>
      <c r="G10" s="72"/>
      <c r="H10" s="72"/>
      <c r="I10" s="72"/>
      <c r="J10" s="72"/>
      <c r="K10" s="72"/>
      <c r="L10" s="72"/>
      <c r="M10" s="72"/>
      <c r="N10" s="72"/>
    </row>
    <row r="11" spans="1:14">
      <c r="A11" s="72"/>
      <c r="B11" s="72"/>
      <c r="C11" s="72"/>
      <c r="D11" s="72"/>
      <c r="E11" s="72"/>
      <c r="F11" s="72"/>
      <c r="G11" s="72"/>
      <c r="H11" s="72"/>
      <c r="I11" s="72"/>
      <c r="J11" s="72"/>
      <c r="K11" s="72"/>
      <c r="L11" s="72"/>
      <c r="M11" s="72"/>
      <c r="N11" s="72"/>
    </row>
    <row r="12" spans="1:14">
      <c r="A12" s="72"/>
      <c r="B12" s="72"/>
      <c r="C12" s="72"/>
      <c r="D12" s="72"/>
      <c r="E12" s="72"/>
      <c r="F12" s="72"/>
      <c r="G12" s="72"/>
      <c r="H12" s="72"/>
      <c r="I12" s="72"/>
      <c r="J12" s="72"/>
      <c r="K12" s="72"/>
      <c r="L12" s="72"/>
      <c r="M12" s="72"/>
      <c r="N12" s="72"/>
    </row>
  </sheetData>
  <mergeCells count="1">
    <mergeCell ref="A8:N12"/>
  </mergeCell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0"/>
  <sheetViews>
    <sheetView rightToLeft="1" zoomScaleNormal="100" workbookViewId="0">
      <selection activeCell="D6" sqref="D6"/>
    </sheetView>
  </sheetViews>
  <sheetFormatPr defaultColWidth="8.7109375" defaultRowHeight="15"/>
  <cols>
    <col min="1" max="1" width="42" customWidth="1"/>
    <col min="2" max="14" width="14" customWidth="1"/>
  </cols>
  <sheetData>
    <row r="1" spans="1:14" ht="18">
      <c r="A1" s="60" t="s">
        <v>512</v>
      </c>
      <c r="G1" s="61" t="s">
        <v>86</v>
      </c>
    </row>
    <row r="2" spans="1:14">
      <c r="A2" s="62" t="s">
        <v>513</v>
      </c>
    </row>
    <row r="4" spans="1:14" ht="15.75">
      <c r="A4" s="35" t="s">
        <v>88</v>
      </c>
      <c r="B4" s="35" t="s">
        <v>89</v>
      </c>
      <c r="C4" s="35" t="s">
        <v>90</v>
      </c>
      <c r="D4" s="35" t="s">
        <v>91</v>
      </c>
      <c r="E4" s="35" t="s">
        <v>92</v>
      </c>
    </row>
    <row r="5" spans="1:14">
      <c r="A5" s="24" t="s">
        <v>514</v>
      </c>
      <c r="B5" s="19" t="s">
        <v>6</v>
      </c>
      <c r="C5" s="19" t="s">
        <v>6</v>
      </c>
      <c r="D5" s="19" t="s">
        <v>6</v>
      </c>
      <c r="E5" s="19">
        <v>22</v>
      </c>
    </row>
    <row r="6" spans="1:14">
      <c r="A6" s="24" t="s">
        <v>515</v>
      </c>
      <c r="B6" s="19" t="s">
        <v>6</v>
      </c>
      <c r="C6" s="19" t="s">
        <v>516</v>
      </c>
      <c r="D6" s="19" t="s">
        <v>517</v>
      </c>
      <c r="E6" s="19" t="s">
        <v>6</v>
      </c>
    </row>
    <row r="8" spans="1:14" ht="48" customHeight="1">
      <c r="A8" s="72" t="s">
        <v>518</v>
      </c>
      <c r="B8" s="72"/>
      <c r="C8" s="72"/>
      <c r="D8" s="72"/>
      <c r="E8" s="72"/>
      <c r="F8" s="72"/>
      <c r="G8" s="72"/>
      <c r="H8" s="72"/>
      <c r="I8" s="72"/>
      <c r="J8" s="72"/>
      <c r="K8" s="72"/>
      <c r="L8" s="72"/>
      <c r="M8" s="72"/>
      <c r="N8" s="72"/>
    </row>
    <row r="9" spans="1:14">
      <c r="A9" s="72"/>
      <c r="B9" s="72"/>
      <c r="C9" s="72"/>
      <c r="D9" s="72"/>
      <c r="E9" s="72"/>
      <c r="F9" s="72"/>
      <c r="G9" s="72"/>
      <c r="H9" s="72"/>
      <c r="I9" s="72"/>
      <c r="J9" s="72"/>
      <c r="K9" s="72"/>
      <c r="L9" s="72"/>
      <c r="M9" s="72"/>
      <c r="N9" s="72"/>
    </row>
    <row r="10" spans="1:14">
      <c r="A10" s="72"/>
      <c r="B10" s="72"/>
      <c r="C10" s="72"/>
      <c r="D10" s="72"/>
      <c r="E10" s="72"/>
      <c r="F10" s="72"/>
      <c r="G10" s="72"/>
      <c r="H10" s="72"/>
      <c r="I10" s="72"/>
      <c r="J10" s="72"/>
      <c r="K10" s="72"/>
      <c r="L10" s="72"/>
      <c r="M10" s="72"/>
      <c r="N10" s="72"/>
    </row>
  </sheetData>
  <mergeCells count="1">
    <mergeCell ref="A8:N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ملخص عام</vt:lpstr>
      <vt:lpstr>1-التشريعات</vt:lpstr>
      <vt:lpstr>2-جودة التشريعات</vt:lpstr>
      <vt:lpstr>3-المحالة حسب القطاع والجرم</vt:lpstr>
      <vt:lpstr>4-الملفات التحقيقية الواردة</vt:lpstr>
      <vt:lpstr>5-الملفات المنجزة (عدد)</vt:lpstr>
      <vt:lpstr>6-الواردة لنيابة جرائم الفساد</vt:lpstr>
      <vt:lpstr>7-نسبة المنجز لدى النيابة</vt:lpstr>
      <vt:lpstr>8-المحالين لمحكمة الفساد</vt:lpstr>
      <vt:lpstr>9-القضايا المفصولة بحكم</vt:lpstr>
      <vt:lpstr>10-المدانين</vt:lpstr>
      <vt:lpstr>11-المكلفين بالإقرار</vt:lpstr>
      <vt:lpstr>12-الإقرارات الموزعة</vt:lpstr>
      <vt:lpstr>13-نسبة الإقرارات المستوفاة</vt:lpstr>
      <vt:lpstr>14-فض الإقرارات للفحص</vt:lpstr>
      <vt:lpstr>15-طلبات الحماية الواردة</vt:lpstr>
      <vt:lpstr>15ب-حسب النوع والنتيجة</vt:lpstr>
      <vt:lpstr>15ج-حسب جهة الحماية</vt:lpstr>
      <vt:lpstr>16-طلبات التظلم</vt:lpstr>
      <vt:lpstr>17-متابعة طلبات الحماية</vt:lpstr>
      <vt:lpstr>18-انتشار الرشوة (رأي عام)</vt:lpstr>
      <vt:lpstr>19-انتشار الرشوة الفعلي</vt:lpstr>
      <vt:lpstr>20-الواردة حسب القطاع</vt:lpstr>
      <vt:lpstr>21-جرائم الملفات الواردة</vt:lpstr>
      <vt:lpstr>22-المحفوظة حسب قطاع وجرم</vt:lpstr>
      <vt:lpstr>23-محولة للنيابة العامة</vt:lpstr>
      <vt:lpstr>24-إجراءات الضبط القضائي</vt:lpstr>
      <vt:lpstr>25-نسب ومعدلات مشتقة</vt:lpstr>
      <vt:lpstr>26-منتهية (ملف مماثل بالنيابة)</vt:lpstr>
      <vt:lpstr>27-تفصيل حسب نوع القرار</vt:lpstr>
      <vt:lpstr>28-الشكاوى حسب مصدر التقديم</vt:lpstr>
      <vt:lpstr>29-الشكاوى حسب التكييف الأولي</vt:lpstr>
      <vt:lpstr>30-الشكاوى حسب القطاع</vt:lpstr>
      <vt:lpstr>31-طريقة استلام الشكوى</vt:lpstr>
      <vt:lpstr>32-الشكاوى حسب جنس المشتكى عليه</vt:lpstr>
      <vt:lpstr>33-حسب درجة المشتكى عليه</vt:lpstr>
      <vt:lpstr>34-نموذج1 قضايا ومشتبهين</vt:lpstr>
      <vt:lpstr>35-نموذج4 حسب نوع الجرم (محكمة)</vt:lpstr>
      <vt:lpstr>36-نموذج3 حسب القطاع (مسجلة)</vt:lpstr>
      <vt:lpstr>11ب-الجهات المكلفة</vt:lpstr>
      <vt:lpstr>12ب-إقرارات دورية</vt:lpstr>
      <vt:lpstr>12ج-المجموع التراكمي</vt:lpstr>
      <vt:lpstr>12د-التوزيع حسب الفئة</vt:lpstr>
      <vt:lpstr>42-ضبط وإعادة أموال عامة</vt:lpstr>
      <vt:lpstr>43-تقارير التدقيق المالي</vt:lpstr>
      <vt:lpstr>44-جهود الرصد التفصيلية</vt:lpstr>
      <vt:lpstr>45-بيانات غزة الاستثنائية 2024</vt:lpstr>
      <vt:lpstr>46-مؤشرات إضافية متفرقة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Muhanned</cp:lastModifiedBy>
  <cp:revision>2</cp:revision>
  <dcterms:created xsi:type="dcterms:W3CDTF">2026-07-07T11:41:26Z</dcterms:created>
  <dcterms:modified xsi:type="dcterms:W3CDTF">2026-07-09T09:30:33Z</dcterms:modified>
  <dc:language>en-US</dc:language>
</cp:coreProperties>
</file>